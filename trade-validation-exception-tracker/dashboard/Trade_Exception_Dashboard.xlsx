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BOLUWATIFE\Downloads\"/>
    </mc:Choice>
  </mc:AlternateContent>
  <xr:revisionPtr revIDLastSave="0" documentId="13_ncr:1_{87CA1554-6001-4279-8989-1C839BC87027}" xr6:coauthVersionLast="47" xr6:coauthVersionMax="47" xr10:uidLastSave="{00000000-0000-0000-0000-000000000000}"/>
  <bookViews>
    <workbookView xWindow="-108" yWindow="-108" windowWidth="23256" windowHeight="12456" activeTab="2" xr2:uid="{00000000-000D-0000-FFFF-FFFF00000000}"/>
  </bookViews>
  <sheets>
    <sheet name="exceptions" sheetId="1" r:id="rId1"/>
    <sheet name="Calc" sheetId="3" r:id="rId2"/>
    <sheet name="Dashboard" sheetId="4" r:id="rId3"/>
    <sheet name="by_method" sheetId="2" r:id="rId4"/>
  </sheets>
  <definedNames>
    <definedName name="Slicer_age_bucket">#N/A</definedName>
    <definedName name="Slicer_booking_desk">#N/A</definedName>
    <definedName name="Slicer_entry_method">#N/A</definedName>
    <definedName name="Slicer_escalate_to">#N/A</definedName>
  </definedNames>
  <calcPr calcId="191029"/>
  <pivotCaches>
    <pivotCache cacheId="1"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7" i="4" l="1"/>
  <c r="R7" i="4"/>
  <c r="B7" i="4"/>
  <c r="F7" i="4"/>
  <c r="N7" i="4"/>
  <c r="J7" i="4" l="1"/>
</calcChain>
</file>

<file path=xl/sharedStrings.xml><?xml version="1.0" encoding="utf-8"?>
<sst xmlns="http://schemas.openxmlformats.org/spreadsheetml/2006/main" count="2012" uniqueCount="362">
  <si>
    <t>trade_id</t>
  </si>
  <si>
    <t>trade_date</t>
  </si>
  <si>
    <t>settlement_date</t>
  </si>
  <si>
    <t>counterparty_id</t>
  </si>
  <si>
    <t>product_id</t>
  </si>
  <si>
    <t>side</t>
  </si>
  <si>
    <t>quantity</t>
  </si>
  <si>
    <t>price</t>
  </si>
  <si>
    <t>currency</t>
  </si>
  <si>
    <t>booking_desk</t>
  </si>
  <si>
    <t>entry_method</t>
  </si>
  <si>
    <t>issues</t>
  </si>
  <si>
    <t>days_open</t>
  </si>
  <si>
    <t>age_bucket</t>
  </si>
  <si>
    <t>escalate_to</t>
  </si>
  <si>
    <t>missing_field</t>
  </si>
  <si>
    <t>unknown_counterparty</t>
  </si>
  <si>
    <t>unknown_product</t>
  </si>
  <si>
    <t>settle_before_trade</t>
  </si>
  <si>
    <t>settle_on_weekend</t>
  </si>
  <si>
    <t>quantity_over_limit</t>
  </si>
  <si>
    <t>suspended_counterparty</t>
  </si>
  <si>
    <t>currency_mismatch</t>
  </si>
  <si>
    <t>duplicate_trade_id</t>
  </si>
  <si>
    <t>T00019</t>
  </si>
  <si>
    <t>CP008</t>
  </si>
  <si>
    <t>GB0005</t>
  </si>
  <si>
    <t>BUY</t>
  </si>
  <si>
    <t>EUR</t>
  </si>
  <si>
    <t>London Rates</t>
  </si>
  <si>
    <t>Electronic</t>
  </si>
  <si>
    <t>Over 10 days</t>
  </si>
  <si>
    <t>Head of operations</t>
  </si>
  <si>
    <t>T00103</t>
  </si>
  <si>
    <t>CP007</t>
  </si>
  <si>
    <t>ET0002</t>
  </si>
  <si>
    <t>GBP</t>
  </si>
  <si>
    <t>London Credit</t>
  </si>
  <si>
    <t>Manual</t>
  </si>
  <si>
    <t>T00104</t>
  </si>
  <si>
    <t>CP055</t>
  </si>
  <si>
    <t>CB0006</t>
  </si>
  <si>
    <t>USD</t>
  </si>
  <si>
    <t>T00105</t>
  </si>
  <si>
    <t>CP097</t>
  </si>
  <si>
    <t>EQ0007</t>
  </si>
  <si>
    <t>SELL</t>
  </si>
  <si>
    <t>T00106</t>
  </si>
  <si>
    <t>CP080</t>
  </si>
  <si>
    <t>GB0001</t>
  </si>
  <si>
    <t>EMEA Equities</t>
  </si>
  <si>
    <t>T00107</t>
  </si>
  <si>
    <t>CP189</t>
  </si>
  <si>
    <t>EQ0008</t>
  </si>
  <si>
    <t>T00108</t>
  </si>
  <si>
    <t>CP038</t>
  </si>
  <si>
    <t>EQ0067</t>
  </si>
  <si>
    <t>T00109</t>
  </si>
  <si>
    <t>CP040</t>
  </si>
  <si>
    <t>GB0004</t>
  </si>
  <si>
    <t>ETF Desk</t>
  </si>
  <si>
    <t>settle_before_trade, settle_on_weekend</t>
  </si>
  <si>
    <t>T00110</t>
  </si>
  <si>
    <t>CP011</t>
  </si>
  <si>
    <t>CB0008</t>
  </si>
  <si>
    <t>T00111</t>
  </si>
  <si>
    <t>EQ0010</t>
  </si>
  <si>
    <t>T00112</t>
  </si>
  <si>
    <t>CP030</t>
  </si>
  <si>
    <t>GB0006</t>
  </si>
  <si>
    <t>T00113</t>
  </si>
  <si>
    <t>CP032</t>
  </si>
  <si>
    <t>T00114</t>
  </si>
  <si>
    <t>CP027</t>
  </si>
  <si>
    <t>CB0002</t>
  </si>
  <si>
    <t>T00115</t>
  </si>
  <si>
    <t>CP033</t>
  </si>
  <si>
    <t>T00116</t>
  </si>
  <si>
    <t>CP020</t>
  </si>
  <si>
    <t>T00160</t>
  </si>
  <si>
    <t>CP013</t>
  </si>
  <si>
    <t>EQ0005</t>
  </si>
  <si>
    <t>T00167</t>
  </si>
  <si>
    <t>T00193</t>
  </si>
  <si>
    <t>CP003</t>
  </si>
  <si>
    <t>EQ0006</t>
  </si>
  <si>
    <t>T00207</t>
  </si>
  <si>
    <t>CP010</t>
  </si>
  <si>
    <t>T00217</t>
  </si>
  <si>
    <t>CB0004</t>
  </si>
  <si>
    <t>T00218</t>
  </si>
  <si>
    <t>CP138</t>
  </si>
  <si>
    <t>EQ0002</t>
  </si>
  <si>
    <t>T00219</t>
  </si>
  <si>
    <t>CP046</t>
  </si>
  <si>
    <t>GB0003</t>
  </si>
  <si>
    <t>T00220</t>
  </si>
  <si>
    <t>EQ0071</t>
  </si>
  <si>
    <t>T00221</t>
  </si>
  <si>
    <t>CP026</t>
  </si>
  <si>
    <t>T00222</t>
  </si>
  <si>
    <t>EQ0003</t>
  </si>
  <si>
    <t>T00223</t>
  </si>
  <si>
    <t>CB0003</t>
  </si>
  <si>
    <t>T00224</t>
  </si>
  <si>
    <t>CP018</t>
  </si>
  <si>
    <t>T00225</t>
  </si>
  <si>
    <t>CP023</t>
  </si>
  <si>
    <t>T00226</t>
  </si>
  <si>
    <t>T00227</t>
  </si>
  <si>
    <t>CP009</t>
  </si>
  <si>
    <t>GB0007</t>
  </si>
  <si>
    <t>T00228</t>
  </si>
  <si>
    <t>CP006</t>
  </si>
  <si>
    <t>T00229</t>
  </si>
  <si>
    <t>CP039</t>
  </si>
  <si>
    <t>EQ0012</t>
  </si>
  <si>
    <t>T00230</t>
  </si>
  <si>
    <t>T00358</t>
  </si>
  <si>
    <t>Cash Equities</t>
  </si>
  <si>
    <t>T00359</t>
  </si>
  <si>
    <t>T00360</t>
  </si>
  <si>
    <t>CP143</t>
  </si>
  <si>
    <t>ET0003</t>
  </si>
  <si>
    <t>T00361</t>
  </si>
  <si>
    <t>T00362</t>
  </si>
  <si>
    <t>CP037</t>
  </si>
  <si>
    <t>GB0002</t>
  </si>
  <si>
    <t>T00363</t>
  </si>
  <si>
    <t>T00364</t>
  </si>
  <si>
    <t>T00365</t>
  </si>
  <si>
    <t>T00366</t>
  </si>
  <si>
    <t>CP001</t>
  </si>
  <si>
    <t>T00367</t>
  </si>
  <si>
    <t>CP024</t>
  </si>
  <si>
    <t>T00368</t>
  </si>
  <si>
    <t>T00369</t>
  </si>
  <si>
    <t>T00382</t>
  </si>
  <si>
    <t>CP017</t>
  </si>
  <si>
    <t>T00489</t>
  </si>
  <si>
    <t>CB0005</t>
  </si>
  <si>
    <t>T00490</t>
  </si>
  <si>
    <t>T00491</t>
  </si>
  <si>
    <t>T00492</t>
  </si>
  <si>
    <t>CP115</t>
  </si>
  <si>
    <t>T00493</t>
  </si>
  <si>
    <t>CP160</t>
  </si>
  <si>
    <t>EQ0004</t>
  </si>
  <si>
    <t>T00494</t>
  </si>
  <si>
    <t>GB0063</t>
  </si>
  <si>
    <t>T00495</t>
  </si>
  <si>
    <t>CP016</t>
  </si>
  <si>
    <t>T00496</t>
  </si>
  <si>
    <t>T00497</t>
  </si>
  <si>
    <t>T00498</t>
  </si>
  <si>
    <t>CP005</t>
  </si>
  <si>
    <t>T00499</t>
  </si>
  <si>
    <t>T00500</t>
  </si>
  <si>
    <t>T00501</t>
  </si>
  <si>
    <t>CP019</t>
  </si>
  <si>
    <t>T00502</t>
  </si>
  <si>
    <t>T00613</t>
  </si>
  <si>
    <t>CB0007</t>
  </si>
  <si>
    <t>T00614</t>
  </si>
  <si>
    <t>T00615</t>
  </si>
  <si>
    <t>EQ0001</t>
  </si>
  <si>
    <t>T00616</t>
  </si>
  <si>
    <t>T00617</t>
  </si>
  <si>
    <t>CP108</t>
  </si>
  <si>
    <t>T00618</t>
  </si>
  <si>
    <t>CP151</t>
  </si>
  <si>
    <t>T00619</t>
  </si>
  <si>
    <t>T00620</t>
  </si>
  <si>
    <t>T00621</t>
  </si>
  <si>
    <t>T00636</t>
  </si>
  <si>
    <t>T00722</t>
  </si>
  <si>
    <t>CP012</t>
  </si>
  <si>
    <t>CB0060</t>
  </si>
  <si>
    <t>T00723</t>
  </si>
  <si>
    <t>GB0075</t>
  </si>
  <si>
    <t>T00724</t>
  </si>
  <si>
    <t>GB0062</t>
  </si>
  <si>
    <t>T00725</t>
  </si>
  <si>
    <t>CP029</t>
  </si>
  <si>
    <t>T00726</t>
  </si>
  <si>
    <t>T00727</t>
  </si>
  <si>
    <t>T00728</t>
  </si>
  <si>
    <t>T00729</t>
  </si>
  <si>
    <t>ET0004</t>
  </si>
  <si>
    <t>T00730</t>
  </si>
  <si>
    <t>T00795</t>
  </si>
  <si>
    <t>T00858</t>
  </si>
  <si>
    <t>T00859</t>
  </si>
  <si>
    <t>T00860</t>
  </si>
  <si>
    <t>T00861</t>
  </si>
  <si>
    <t>CP141</t>
  </si>
  <si>
    <t>T00862</t>
  </si>
  <si>
    <t>CP071</t>
  </si>
  <si>
    <t>T00863</t>
  </si>
  <si>
    <t>CP114</t>
  </si>
  <si>
    <t>T00864</t>
  </si>
  <si>
    <t>CP031</t>
  </si>
  <si>
    <t>CB0072</t>
  </si>
  <si>
    <t>T00865</t>
  </si>
  <si>
    <t>CB0059</t>
  </si>
  <si>
    <t>T00866</t>
  </si>
  <si>
    <t>CP022</t>
  </si>
  <si>
    <t>T00867</t>
  </si>
  <si>
    <t>CP002</t>
  </si>
  <si>
    <t>T00868</t>
  </si>
  <si>
    <t>CP034</t>
  </si>
  <si>
    <t>T00869</t>
  </si>
  <si>
    <t>CP036</t>
  </si>
  <si>
    <t>T00870</t>
  </si>
  <si>
    <t>CP004</t>
  </si>
  <si>
    <t>T00871</t>
  </si>
  <si>
    <t>T00904</t>
  </si>
  <si>
    <t>T00985</t>
  </si>
  <si>
    <t>CP186</t>
  </si>
  <si>
    <t>T00986</t>
  </si>
  <si>
    <t>CP015</t>
  </si>
  <si>
    <t>ET0072</t>
  </si>
  <si>
    <t>T00987</t>
  </si>
  <si>
    <t>T00988</t>
  </si>
  <si>
    <t>T00989</t>
  </si>
  <si>
    <t>T00990</t>
  </si>
  <si>
    <t>T00991</t>
  </si>
  <si>
    <t>T01004</t>
  </si>
  <si>
    <t>6-10 days</t>
  </si>
  <si>
    <t>Operations manager</t>
  </si>
  <si>
    <t>T01043</t>
  </si>
  <si>
    <t>CP035</t>
  </si>
  <si>
    <t>T01069</t>
  </si>
  <si>
    <t>T01122</t>
  </si>
  <si>
    <t>T01123</t>
  </si>
  <si>
    <t>T01124</t>
  </si>
  <si>
    <t>CB0067</t>
  </si>
  <si>
    <t>T01125</t>
  </si>
  <si>
    <t>ET0079</t>
  </si>
  <si>
    <t>T01126</t>
  </si>
  <si>
    <t>T01127</t>
  </si>
  <si>
    <t>T01128</t>
  </si>
  <si>
    <t>ET0005</t>
  </si>
  <si>
    <t>T01129</t>
  </si>
  <si>
    <t>T01130</t>
  </si>
  <si>
    <t>T01219</t>
  </si>
  <si>
    <t>T01241</t>
  </si>
  <si>
    <t>T01242</t>
  </si>
  <si>
    <t>CP021</t>
  </si>
  <si>
    <t>T01243</t>
  </si>
  <si>
    <t>T01244</t>
  </si>
  <si>
    <t>EQ0051</t>
  </si>
  <si>
    <t>T01245</t>
  </si>
  <si>
    <t>T01246</t>
  </si>
  <si>
    <t>T01247</t>
  </si>
  <si>
    <t>EQ0009</t>
  </si>
  <si>
    <t>T01248</t>
  </si>
  <si>
    <t>T01249</t>
  </si>
  <si>
    <t>ET0001</t>
  </si>
  <si>
    <t>T01367</t>
  </si>
  <si>
    <t>T01368</t>
  </si>
  <si>
    <t>T01369</t>
  </si>
  <si>
    <t>T01370</t>
  </si>
  <si>
    <t>CP073</t>
  </si>
  <si>
    <t>T01371</t>
  </si>
  <si>
    <t>CP161</t>
  </si>
  <si>
    <t>T01372</t>
  </si>
  <si>
    <t>CB0087</t>
  </si>
  <si>
    <t>T01373</t>
  </si>
  <si>
    <t>CB0058</t>
  </si>
  <si>
    <t>T01374</t>
  </si>
  <si>
    <t>T01375</t>
  </si>
  <si>
    <t>T01376</t>
  </si>
  <si>
    <t>T01377</t>
  </si>
  <si>
    <t>T01378</t>
  </si>
  <si>
    <t>T01379</t>
  </si>
  <si>
    <t>T01380</t>
  </si>
  <si>
    <t>T01381</t>
  </si>
  <si>
    <t>T01382</t>
  </si>
  <si>
    <t>CP028</t>
  </si>
  <si>
    <t>CB0001</t>
  </si>
  <si>
    <t>T01383</t>
  </si>
  <si>
    <t>T01384</t>
  </si>
  <si>
    <t>T01385</t>
  </si>
  <si>
    <t>T01496</t>
  </si>
  <si>
    <t>T01504</t>
  </si>
  <si>
    <t>CP057</t>
  </si>
  <si>
    <t>T01505</t>
  </si>
  <si>
    <t>CB0054</t>
  </si>
  <si>
    <t>T01506</t>
  </si>
  <si>
    <t>T01507</t>
  </si>
  <si>
    <t>T01508</t>
  </si>
  <si>
    <t>T01624</t>
  </si>
  <si>
    <t>3-5 days</t>
  </si>
  <si>
    <t>Team lead</t>
  </si>
  <si>
    <t>T01625</t>
  </si>
  <si>
    <t>CP043</t>
  </si>
  <si>
    <t>T01626</t>
  </si>
  <si>
    <t>CP095</t>
  </si>
  <si>
    <t>T01627</t>
  </si>
  <si>
    <t>T01628</t>
  </si>
  <si>
    <t>CB0090</t>
  </si>
  <si>
    <t>T01629</t>
  </si>
  <si>
    <t>ET0052</t>
  </si>
  <si>
    <t>T01630</t>
  </si>
  <si>
    <t>T01631</t>
  </si>
  <si>
    <t>T01632</t>
  </si>
  <si>
    <t>T01633</t>
  </si>
  <si>
    <t>T01634</t>
  </si>
  <si>
    <t>EQ0011</t>
  </si>
  <si>
    <t>T01635</t>
  </si>
  <si>
    <t>T01636</t>
  </si>
  <si>
    <t>T01637</t>
  </si>
  <si>
    <t>T01685</t>
  </si>
  <si>
    <t>0-2 days</t>
  </si>
  <si>
    <t>Operations analyst</t>
  </si>
  <si>
    <t>T01754</t>
  </si>
  <si>
    <t>T01755</t>
  </si>
  <si>
    <t>CP109</t>
  </si>
  <si>
    <t>T01756</t>
  </si>
  <si>
    <t>T01757</t>
  </si>
  <si>
    <t>T01758</t>
  </si>
  <si>
    <t>T01759</t>
  </si>
  <si>
    <t>CP025</t>
  </si>
  <si>
    <t>T01862</t>
  </si>
  <si>
    <t>T01863</t>
  </si>
  <si>
    <t>CB0080</t>
  </si>
  <si>
    <t>T01864</t>
  </si>
  <si>
    <t>T01865</t>
  </si>
  <si>
    <t>T01980</t>
  </si>
  <si>
    <t>T01981</t>
  </si>
  <si>
    <t>T01982</t>
  </si>
  <si>
    <t>T01983</t>
  </si>
  <si>
    <t>GB0077</t>
  </si>
  <si>
    <t>T01984</t>
  </si>
  <si>
    <t>T01985</t>
  </si>
  <si>
    <t>total_trades</t>
  </si>
  <si>
    <t>trades_with_exception</t>
  </si>
  <si>
    <t>exception_rate</t>
  </si>
  <si>
    <t>Row Labels</t>
  </si>
  <si>
    <t>Grand Total</t>
  </si>
  <si>
    <t>Count of trade_id</t>
  </si>
  <si>
    <t>Average of days_open</t>
  </si>
  <si>
    <t>Values</t>
  </si>
  <si>
    <t>duplicate_trade_ids</t>
  </si>
  <si>
    <t>missing_fields</t>
  </si>
  <si>
    <t>unknown_counterparties</t>
  </si>
  <si>
    <t>quantity_over_limits</t>
  </si>
  <si>
    <t>settle_on_weekends</t>
  </si>
  <si>
    <t>unknown_products</t>
  </si>
  <si>
    <t>settle_before_trades</t>
  </si>
  <si>
    <t>suspended_counterparties</t>
  </si>
  <si>
    <t>currency_mismatches</t>
  </si>
  <si>
    <t>Trade Validation Exception Dashboard</t>
  </si>
  <si>
    <t>Simulated data | Exceptions as of 30 September 2026</t>
  </si>
  <si>
    <t>On this data, manually keyed trades break more than eight times as often as electronic ones</t>
  </si>
  <si>
    <t>Exception rows</t>
  </si>
  <si>
    <t>Open over 10 days</t>
  </si>
  <si>
    <t>Share over 10 days</t>
  </si>
  <si>
    <t>Average days open</t>
  </si>
  <si>
    <t>Manual Exception Rate</t>
  </si>
  <si>
    <t>Electronic Exception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</si>
</sst>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hh:mm:ss"/>
    <numFmt numFmtId="165" formatCode="0.0"/>
    <numFmt numFmtId="168" formatCode="0.0%"/>
  </numFmts>
  <fonts count="6" x14ac:knownFonts="1">
    <font>
      <sz val="11"/>
      <color theme="1"/>
      <name val="Calibri"/>
      <family val="2"/>
      <scheme val="minor"/>
    </font>
    <font>
      <b/>
      <sz val="11"/>
      <name val="Calibri"/>
      <family val="2"/>
    </font>
    <font>
      <b/>
      <sz val="20"/>
      <color theme="0"/>
      <name val="Calibri"/>
      <family val="2"/>
      <scheme val="minor"/>
    </font>
    <font>
      <sz val="9"/>
      <color theme="0"/>
      <name val="Calibri"/>
      <family val="2"/>
      <scheme val="minor"/>
    </font>
    <font>
      <b/>
      <sz val="18"/>
      <color theme="1"/>
      <name val="Calibri"/>
      <family val="2"/>
      <scheme val="minor"/>
    </font>
    <font>
      <b/>
      <sz val="18"/>
      <color rgb="FFFF0000"/>
      <name val="Calibri"/>
      <family val="2"/>
      <scheme val="minor"/>
    </font>
  </fonts>
  <fills count="4">
    <fill>
      <patternFill patternType="none"/>
    </fill>
    <fill>
      <patternFill patternType="gray125"/>
    </fill>
    <fill>
      <patternFill patternType="solid">
        <fgColor rgb="FF012169"/>
        <bgColor indexed="64"/>
      </patternFill>
    </fill>
    <fill>
      <patternFill patternType="solid">
        <fgColor rgb="FFE31837"/>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18">
    <xf numFmtId="0" fontId="0" fillId="0" borderId="0" xfId="0"/>
    <xf numFmtId="0" fontId="1" fillId="0" borderId="1" xfId="0" applyFont="1" applyBorder="1" applyAlignment="1">
      <alignment horizontal="center" vertical="top"/>
    </xf>
    <xf numFmtId="164" fontId="0" fillId="0" borderId="0" xfId="0" applyNumberFormat="1"/>
    <xf numFmtId="0" fontId="1" fillId="0" borderId="2" xfId="0" applyFont="1" applyBorder="1" applyAlignment="1">
      <alignment horizontal="center" vertical="top"/>
    </xf>
    <xf numFmtId="0" fontId="0" fillId="0" borderId="0" xfId="0" pivotButton="1"/>
    <xf numFmtId="0" fontId="0" fillId="0" borderId="0" xfId="0" applyAlignment="1">
      <alignment horizontal="left"/>
    </xf>
    <xf numFmtId="165" fontId="0" fillId="0" borderId="0" xfId="0" applyNumberFormat="1"/>
    <xf numFmtId="0" fontId="0" fillId="3" borderId="0" xfId="0" applyFill="1"/>
    <xf numFmtId="0" fontId="2" fillId="2" borderId="0" xfId="0" applyFont="1" applyFill="1" applyAlignment="1">
      <alignment horizontal="center"/>
    </xf>
    <xf numFmtId="0" fontId="0" fillId="2" borderId="0" xfId="0" applyFill="1" applyAlignment="1">
      <alignment horizontal="center"/>
    </xf>
    <xf numFmtId="0" fontId="3" fillId="2" borderId="0" xfId="0" applyFont="1" applyFill="1" applyAlignment="1">
      <alignment horizontal="center"/>
    </xf>
    <xf numFmtId="0" fontId="0" fillId="0" borderId="0" xfId="0" applyAlignment="1">
      <alignment horizontal="center"/>
    </xf>
    <xf numFmtId="0" fontId="0" fillId="0" borderId="0" xfId="0"/>
    <xf numFmtId="0" fontId="0" fillId="0" borderId="0" xfId="0" applyNumberFormat="1"/>
    <xf numFmtId="168" fontId="4" fillId="0" borderId="0" xfId="0" applyNumberFormat="1" applyFont="1" applyAlignment="1">
      <alignment horizontal="center"/>
    </xf>
    <xf numFmtId="165" fontId="4" fillId="0" borderId="0" xfId="0" applyNumberFormat="1" applyFont="1" applyAlignment="1">
      <alignment horizontal="center"/>
    </xf>
    <xf numFmtId="0" fontId="4" fillId="0" borderId="0" xfId="0" applyFont="1" applyAlignment="1">
      <alignment horizontal="center"/>
    </xf>
    <xf numFmtId="168" fontId="5" fillId="0" borderId="0" xfId="0" applyNumberFormat="1" applyFont="1" applyAlignment="1">
      <alignment horizontal="center"/>
    </xf>
  </cellXfs>
  <cellStyles count="1">
    <cellStyle name="Normal" xfId="0" builtinId="0"/>
  </cellStyles>
  <dxfs count="5">
    <dxf>
      <numFmt numFmtId="164" formatCode="yyyy\-mm\-dd\ hh:mm:ss"/>
    </dxf>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E31837"/>
      <color rgb="FF012169"/>
      <color rgb="FF0053C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[exception_data_for_dashboard_final.xlsx]Calc!pvtMethod</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Exceptions</a:t>
            </a:r>
            <a:r>
              <a:rPr lang="en-US" baseline="0"/>
              <a:t> by entry method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53C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E31837"/>
          </a:solidFill>
          <a:ln>
            <a:noFill/>
          </a:ln>
          <a:effectLst/>
        </c:spPr>
      </c:pivotFmt>
      <c:pivotFmt>
        <c:idx val="2"/>
        <c:spPr>
          <a:solidFill>
            <a:srgbClr val="0053C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E31837"/>
          </a:solidFill>
          <a:ln>
            <a:noFill/>
          </a:ln>
          <a:effectLst/>
        </c:spPr>
      </c:pivotFmt>
      <c:pivotFmt>
        <c:idx val="4"/>
        <c:spPr>
          <a:solidFill>
            <a:srgbClr val="0053C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E31837"/>
          </a:solidFill>
          <a:ln>
            <a:noFill/>
          </a:ln>
          <a:effectLst/>
        </c:spPr>
      </c:pivotFmt>
    </c:pivotFmts>
    <c:plotArea>
      <c:layout/>
      <c:barChart>
        <c:barDir val="col"/>
        <c:grouping val="clustered"/>
        <c:varyColors val="0"/>
        <c:ser>
          <c:idx val="0"/>
          <c:order val="0"/>
          <c:tx>
            <c:strRef>
              <c:f>Calc!$H$3</c:f>
              <c:strCache>
                <c:ptCount val="1"/>
                <c:pt idx="0">
                  <c:v>Total</c:v>
                </c:pt>
              </c:strCache>
            </c:strRef>
          </c:tx>
          <c:spPr>
            <a:solidFill>
              <a:srgbClr val="0053C2"/>
            </a:solidFill>
            <a:ln>
              <a:noFill/>
            </a:ln>
            <a:effectLst/>
          </c:spPr>
          <c:invertIfNegative val="0"/>
          <c:dPt>
            <c:idx val="1"/>
            <c:invertIfNegative val="0"/>
            <c:bubble3D val="0"/>
            <c:spPr>
              <a:solidFill>
                <a:srgbClr val="E31837"/>
              </a:solidFill>
              <a:ln>
                <a:noFill/>
              </a:ln>
              <a:effectLst/>
            </c:spPr>
            <c:extLst>
              <c:ext xmlns:c16="http://schemas.microsoft.com/office/drawing/2014/chart" uri="{C3380CC4-5D6E-409C-BE32-E72D297353CC}">
                <c16:uniqueId val="{00000001-B705-4D64-97F5-51BDDB97B87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Calc!$G$4:$G$6</c:f>
              <c:strCache>
                <c:ptCount val="2"/>
                <c:pt idx="0">
                  <c:v>Electronic</c:v>
                </c:pt>
                <c:pt idx="1">
                  <c:v>Manual</c:v>
                </c:pt>
              </c:strCache>
            </c:strRef>
          </c:cat>
          <c:val>
            <c:numRef>
              <c:f>Calc!$H$4:$H$6</c:f>
              <c:numCache>
                <c:formatCode>General</c:formatCode>
                <c:ptCount val="2"/>
                <c:pt idx="0">
                  <c:v>69</c:v>
                </c:pt>
                <c:pt idx="1">
                  <c:v>126</c:v>
                </c:pt>
              </c:numCache>
            </c:numRef>
          </c:val>
          <c:extLst>
            <c:ext xmlns:c16="http://schemas.microsoft.com/office/drawing/2014/chart" uri="{C3380CC4-5D6E-409C-BE32-E72D297353CC}">
              <c16:uniqueId val="{00000002-B705-4D64-97F5-51BDDB97B87C}"/>
            </c:ext>
          </c:extLst>
        </c:ser>
        <c:dLbls>
          <c:dLblPos val="outEnd"/>
          <c:showLegendKey val="0"/>
          <c:showVal val="1"/>
          <c:showCatName val="0"/>
          <c:showSerName val="0"/>
          <c:showPercent val="0"/>
          <c:showBubbleSize val="0"/>
        </c:dLbls>
        <c:gapWidth val="219"/>
        <c:overlap val="-27"/>
        <c:axId val="90156751"/>
        <c:axId val="15441055"/>
      </c:barChart>
      <c:catAx>
        <c:axId val="90156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1055"/>
        <c:crosses val="autoZero"/>
        <c:auto val="1"/>
        <c:lblAlgn val="ctr"/>
        <c:lblOffset val="100"/>
        <c:noMultiLvlLbl val="0"/>
      </c:catAx>
      <c:valAx>
        <c:axId val="154410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156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[exception_data_for_dashboard_final.xlsx]Calc!pvtRule</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Exceptions</a:t>
            </a:r>
            <a:r>
              <a:rPr lang="en-US" baseline="0"/>
              <a:t> by rule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53C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3C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53C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Calc!$B$15</c:f>
              <c:strCache>
                <c:ptCount val="1"/>
                <c:pt idx="0">
                  <c:v>Total</c:v>
                </c:pt>
              </c:strCache>
            </c:strRef>
          </c:tx>
          <c:spPr>
            <a:solidFill>
              <a:srgbClr val="0053C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Calc!$A$16:$A$24</c:f>
              <c:strCache>
                <c:ptCount val="9"/>
                <c:pt idx="0">
                  <c:v>duplicate_trade_ids</c:v>
                </c:pt>
                <c:pt idx="1">
                  <c:v>missing_fields</c:v>
                </c:pt>
                <c:pt idx="2">
                  <c:v>unknown_counterparties</c:v>
                </c:pt>
                <c:pt idx="3">
                  <c:v>quantity_over_limits</c:v>
                </c:pt>
                <c:pt idx="4">
                  <c:v>settle_on_weekends</c:v>
                </c:pt>
                <c:pt idx="5">
                  <c:v>unknown_products</c:v>
                </c:pt>
                <c:pt idx="6">
                  <c:v>settle_before_trades</c:v>
                </c:pt>
                <c:pt idx="7">
                  <c:v>suspended_counterparties</c:v>
                </c:pt>
                <c:pt idx="8">
                  <c:v>currency_mismatches</c:v>
                </c:pt>
              </c:strCache>
            </c:strRef>
          </c:cat>
          <c:val>
            <c:numRef>
              <c:f>Calc!$B$16:$B$24</c:f>
              <c:numCache>
                <c:formatCode>General</c:formatCode>
                <c:ptCount val="9"/>
                <c:pt idx="0">
                  <c:v>30</c:v>
                </c:pt>
                <c:pt idx="1">
                  <c:v>25</c:v>
                </c:pt>
                <c:pt idx="2">
                  <c:v>25</c:v>
                </c:pt>
                <c:pt idx="3">
                  <c:v>25</c:v>
                </c:pt>
                <c:pt idx="4">
                  <c:v>22</c:v>
                </c:pt>
                <c:pt idx="5">
                  <c:v>20</c:v>
                </c:pt>
                <c:pt idx="6">
                  <c:v>20</c:v>
                </c:pt>
                <c:pt idx="7">
                  <c:v>15</c:v>
                </c:pt>
                <c:pt idx="8">
                  <c:v>15</c:v>
                </c:pt>
              </c:numCache>
            </c:numRef>
          </c:val>
          <c:extLst>
            <c:ext xmlns:c16="http://schemas.microsoft.com/office/drawing/2014/chart" uri="{C3380CC4-5D6E-409C-BE32-E72D297353CC}">
              <c16:uniqueId val="{00000000-C1F0-4174-8267-6609BFD97394}"/>
            </c:ext>
          </c:extLst>
        </c:ser>
        <c:dLbls>
          <c:dLblPos val="outEnd"/>
          <c:showLegendKey val="0"/>
          <c:showVal val="1"/>
          <c:showCatName val="0"/>
          <c:showSerName val="0"/>
          <c:showPercent val="0"/>
          <c:showBubbleSize val="0"/>
        </c:dLbls>
        <c:gapWidth val="182"/>
        <c:axId val="26772239"/>
        <c:axId val="1875017535"/>
      </c:barChart>
      <c:catAx>
        <c:axId val="26772239"/>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5017535"/>
        <c:crosses val="autoZero"/>
        <c:auto val="1"/>
        <c:lblAlgn val="ctr"/>
        <c:lblOffset val="100"/>
        <c:noMultiLvlLbl val="0"/>
      </c:catAx>
      <c:valAx>
        <c:axId val="1875017535"/>
        <c:scaling>
          <c:orientation val="minMax"/>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772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[exception_data_for_dashboard_final.xlsx]Calc!pvtAge</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Open</a:t>
            </a:r>
            <a:r>
              <a:rPr lang="en-US" baseline="0"/>
              <a:t> exceptions by age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53C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E31837"/>
          </a:solidFill>
          <a:ln>
            <a:noFill/>
          </a:ln>
          <a:effectLst/>
        </c:spPr>
      </c:pivotFmt>
      <c:pivotFmt>
        <c:idx val="2"/>
        <c:spPr>
          <a:solidFill>
            <a:srgbClr val="0053C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E31837"/>
          </a:solidFill>
          <a:ln>
            <a:noFill/>
          </a:ln>
          <a:effectLst/>
        </c:spPr>
      </c:pivotFmt>
      <c:pivotFmt>
        <c:idx val="4"/>
        <c:spPr>
          <a:solidFill>
            <a:srgbClr val="0053C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E31837"/>
          </a:solidFill>
          <a:ln>
            <a:noFill/>
          </a:ln>
          <a:effectLst/>
        </c:spPr>
      </c:pivotFmt>
    </c:pivotFmts>
    <c:plotArea>
      <c:layout/>
      <c:barChart>
        <c:barDir val="col"/>
        <c:grouping val="clustered"/>
        <c:varyColors val="0"/>
        <c:ser>
          <c:idx val="0"/>
          <c:order val="0"/>
          <c:tx>
            <c:strRef>
              <c:f>Calc!$E$3</c:f>
              <c:strCache>
                <c:ptCount val="1"/>
                <c:pt idx="0">
                  <c:v>Total</c:v>
                </c:pt>
              </c:strCache>
            </c:strRef>
          </c:tx>
          <c:spPr>
            <a:solidFill>
              <a:srgbClr val="0053C2"/>
            </a:solidFill>
            <a:ln>
              <a:noFill/>
            </a:ln>
            <a:effectLst/>
          </c:spPr>
          <c:invertIfNegative val="0"/>
          <c:dPt>
            <c:idx val="3"/>
            <c:invertIfNegative val="0"/>
            <c:bubble3D val="0"/>
            <c:spPr>
              <a:solidFill>
                <a:srgbClr val="E31837"/>
              </a:solidFill>
              <a:ln>
                <a:noFill/>
              </a:ln>
              <a:effectLst/>
            </c:spPr>
            <c:extLst>
              <c:ext xmlns:c16="http://schemas.microsoft.com/office/drawing/2014/chart" uri="{C3380CC4-5D6E-409C-BE32-E72D297353CC}">
                <c16:uniqueId val="{00000001-EC9A-4CD8-ACCE-17E17791E24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Calc!$D$4:$D$8</c:f>
              <c:strCache>
                <c:ptCount val="4"/>
                <c:pt idx="0">
                  <c:v>0-2 days</c:v>
                </c:pt>
                <c:pt idx="1">
                  <c:v>3-5 days</c:v>
                </c:pt>
                <c:pt idx="2">
                  <c:v>6-10 days</c:v>
                </c:pt>
                <c:pt idx="3">
                  <c:v>Over 10 days</c:v>
                </c:pt>
              </c:strCache>
            </c:strRef>
          </c:cat>
          <c:val>
            <c:numRef>
              <c:f>Calc!$E$4:$E$8</c:f>
              <c:numCache>
                <c:formatCode>General</c:formatCode>
                <c:ptCount val="4"/>
                <c:pt idx="0">
                  <c:v>18</c:v>
                </c:pt>
                <c:pt idx="1">
                  <c:v>14</c:v>
                </c:pt>
                <c:pt idx="2">
                  <c:v>52</c:v>
                </c:pt>
                <c:pt idx="3">
                  <c:v>111</c:v>
                </c:pt>
              </c:numCache>
            </c:numRef>
          </c:val>
          <c:extLst>
            <c:ext xmlns:c16="http://schemas.microsoft.com/office/drawing/2014/chart" uri="{C3380CC4-5D6E-409C-BE32-E72D297353CC}">
              <c16:uniqueId val="{00000002-EC9A-4CD8-ACCE-17E17791E244}"/>
            </c:ext>
          </c:extLst>
        </c:ser>
        <c:dLbls>
          <c:dLblPos val="outEnd"/>
          <c:showLegendKey val="0"/>
          <c:showVal val="1"/>
          <c:showCatName val="0"/>
          <c:showSerName val="0"/>
          <c:showPercent val="0"/>
          <c:showBubbleSize val="0"/>
        </c:dLbls>
        <c:gapWidth val="219"/>
        <c:overlap val="-27"/>
        <c:axId val="89714927"/>
        <c:axId val="15466495"/>
      </c:barChart>
      <c:catAx>
        <c:axId val="89714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66495"/>
        <c:crosses val="autoZero"/>
        <c:auto val="1"/>
        <c:lblAlgn val="ctr"/>
        <c:lblOffset val="100"/>
        <c:noMultiLvlLbl val="0"/>
      </c:catAx>
      <c:valAx>
        <c:axId val="154664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14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[exception_data_for_dashboard_final.xlsx]Calc!pvtDesk</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Exceptions</a:t>
            </a:r>
            <a:r>
              <a:rPr lang="en-US" baseline="0"/>
              <a:t> by booking desk</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53C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3C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53C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Calc!$K$3</c:f>
              <c:strCache>
                <c:ptCount val="1"/>
                <c:pt idx="0">
                  <c:v>Total</c:v>
                </c:pt>
              </c:strCache>
            </c:strRef>
          </c:tx>
          <c:spPr>
            <a:solidFill>
              <a:srgbClr val="0053C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Calc!$J$4:$J$9</c:f>
              <c:strCache>
                <c:ptCount val="5"/>
                <c:pt idx="0">
                  <c:v>London Credit</c:v>
                </c:pt>
                <c:pt idx="1">
                  <c:v>EMEA Equities</c:v>
                </c:pt>
                <c:pt idx="2">
                  <c:v>ETF Desk</c:v>
                </c:pt>
                <c:pt idx="3">
                  <c:v>London Rates</c:v>
                </c:pt>
                <c:pt idx="4">
                  <c:v>Cash Equities</c:v>
                </c:pt>
              </c:strCache>
            </c:strRef>
          </c:cat>
          <c:val>
            <c:numRef>
              <c:f>Calc!$K$4:$K$9</c:f>
              <c:numCache>
                <c:formatCode>General</c:formatCode>
                <c:ptCount val="5"/>
                <c:pt idx="0">
                  <c:v>47</c:v>
                </c:pt>
                <c:pt idx="1">
                  <c:v>38</c:v>
                </c:pt>
                <c:pt idx="2">
                  <c:v>38</c:v>
                </c:pt>
                <c:pt idx="3">
                  <c:v>37</c:v>
                </c:pt>
                <c:pt idx="4">
                  <c:v>35</c:v>
                </c:pt>
              </c:numCache>
            </c:numRef>
          </c:val>
          <c:extLst>
            <c:ext xmlns:c16="http://schemas.microsoft.com/office/drawing/2014/chart" uri="{C3380CC4-5D6E-409C-BE32-E72D297353CC}">
              <c16:uniqueId val="{00000000-420E-4074-A13E-ACE1051E001F}"/>
            </c:ext>
          </c:extLst>
        </c:ser>
        <c:dLbls>
          <c:dLblPos val="outEnd"/>
          <c:showLegendKey val="0"/>
          <c:showVal val="1"/>
          <c:showCatName val="0"/>
          <c:showSerName val="0"/>
          <c:showPercent val="0"/>
          <c:showBubbleSize val="0"/>
        </c:dLbls>
        <c:gapWidth val="182"/>
        <c:axId val="48518127"/>
        <c:axId val="2003157279"/>
      </c:barChart>
      <c:catAx>
        <c:axId val="48518127"/>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3157279"/>
        <c:crosses val="autoZero"/>
        <c:auto val="1"/>
        <c:lblAlgn val="ctr"/>
        <c:lblOffset val="100"/>
        <c:noMultiLvlLbl val="0"/>
      </c:catAx>
      <c:valAx>
        <c:axId val="2003157279"/>
        <c:scaling>
          <c:orientation val="minMax"/>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18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327660</xdr:colOff>
      <xdr:row>24</xdr:row>
      <xdr:rowOff>53340</xdr:rowOff>
    </xdr:from>
    <xdr:to>
      <xdr:col>14</xdr:col>
      <xdr:colOff>388620</xdr:colOff>
      <xdr:row>40</xdr:row>
      <xdr:rowOff>13129</xdr:rowOff>
    </xdr:to>
    <xdr:graphicFrame macro="">
      <xdr:nvGraphicFramePr>
        <xdr:cNvPr id="2" name="Chart 1">
          <a:extLst>
            <a:ext uri="{FF2B5EF4-FFF2-40B4-BE49-F238E27FC236}">
              <a16:creationId xmlns:a16="http://schemas.microsoft.com/office/drawing/2014/main" id="{25B82322-313F-4918-9679-E01E2EB31A08}"/>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76200</xdr:colOff>
      <xdr:row>8</xdr:row>
      <xdr:rowOff>45719</xdr:rowOff>
    </xdr:from>
    <xdr:to>
      <xdr:col>24</xdr:col>
      <xdr:colOff>350520</xdr:colOff>
      <xdr:row>23</xdr:row>
      <xdr:rowOff>128112</xdr:rowOff>
    </xdr:to>
    <xdr:graphicFrame macro="">
      <xdr:nvGraphicFramePr>
        <xdr:cNvPr id="3" name="Chart 2">
          <a:extLst>
            <a:ext uri="{FF2B5EF4-FFF2-40B4-BE49-F238E27FC236}">
              <a16:creationId xmlns:a16="http://schemas.microsoft.com/office/drawing/2014/main" id="{4E8B4987-B7D7-4547-A1FE-02557BF96426}"/>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396240</xdr:colOff>
      <xdr:row>8</xdr:row>
      <xdr:rowOff>60960</xdr:rowOff>
    </xdr:from>
    <xdr:to>
      <xdr:col>14</xdr:col>
      <xdr:colOff>320040</xdr:colOff>
      <xdr:row>23</xdr:row>
      <xdr:rowOff>60960</xdr:rowOff>
    </xdr:to>
    <xdr:graphicFrame macro="">
      <xdr:nvGraphicFramePr>
        <xdr:cNvPr id="4" name="Chart 3">
          <a:extLst>
            <a:ext uri="{FF2B5EF4-FFF2-40B4-BE49-F238E27FC236}">
              <a16:creationId xmlns:a16="http://schemas.microsoft.com/office/drawing/2014/main" id="{AE0607A8-4D99-4C0E-AB1B-BF29A5250A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99060</xdr:colOff>
      <xdr:row>24</xdr:row>
      <xdr:rowOff>60960</xdr:rowOff>
    </xdr:from>
    <xdr:to>
      <xdr:col>24</xdr:col>
      <xdr:colOff>426720</xdr:colOff>
      <xdr:row>40</xdr:row>
      <xdr:rowOff>0</xdr:rowOff>
    </xdr:to>
    <xdr:graphicFrame macro="">
      <xdr:nvGraphicFramePr>
        <xdr:cNvPr id="5" name="Chart 4">
          <a:extLst>
            <a:ext uri="{FF2B5EF4-FFF2-40B4-BE49-F238E27FC236}">
              <a16:creationId xmlns:a16="http://schemas.microsoft.com/office/drawing/2014/main" id="{9DB213BB-005D-47FA-A6BA-B6D89137BF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53340</xdr:colOff>
      <xdr:row>13</xdr:row>
      <xdr:rowOff>137160</xdr:rowOff>
    </xdr:from>
    <xdr:to>
      <xdr:col>5</xdr:col>
      <xdr:colOff>144780</xdr:colOff>
      <xdr:row>23</xdr:row>
      <xdr:rowOff>45720</xdr:rowOff>
    </xdr:to>
    <mc:AlternateContent xmlns:mc="http://schemas.openxmlformats.org/markup-compatibility/2006">
      <mc:Choice xmlns:a14="http://schemas.microsoft.com/office/drawing/2010/main" Requires="a14">
        <xdr:graphicFrame macro="">
          <xdr:nvGraphicFramePr>
            <xdr:cNvPr id="6" name="booking_desk">
              <a:extLst>
                <a:ext uri="{FF2B5EF4-FFF2-40B4-BE49-F238E27FC236}">
                  <a16:creationId xmlns:a16="http://schemas.microsoft.com/office/drawing/2014/main" id="{8673AF27-8EDA-4580-881D-2ECF3C52CFC6}"/>
                </a:ext>
              </a:extLst>
            </xdr:cNvPr>
            <xdr:cNvGraphicFramePr/>
          </xdr:nvGraphicFramePr>
          <xdr:xfrm>
            <a:off x="0" y="0"/>
            <a:ext cx="0" cy="0"/>
          </xdr:xfrm>
          <a:graphic>
            <a:graphicData uri="http://schemas.microsoft.com/office/drawing/2010/slicer">
              <sle:slicer xmlns:sle="http://schemas.microsoft.com/office/drawing/2010/slicer" name="booking_desk"/>
            </a:graphicData>
          </a:graphic>
        </xdr:graphicFrame>
      </mc:Choice>
      <mc:Fallback>
        <xdr:sp macro="" textlink="">
          <xdr:nvSpPr>
            <xdr:cNvPr id="0" name=""/>
            <xdr:cNvSpPr>
              <a:spLocks noTextEdit="1"/>
            </xdr:cNvSpPr>
          </xdr:nvSpPr>
          <xdr:spPr>
            <a:xfrm>
              <a:off x="243840" y="2781300"/>
              <a:ext cx="1828800" cy="17373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76200</xdr:colOff>
      <xdr:row>8</xdr:row>
      <xdr:rowOff>60960</xdr:rowOff>
    </xdr:from>
    <xdr:to>
      <xdr:col>5</xdr:col>
      <xdr:colOff>167640</xdr:colOff>
      <xdr:row>13</xdr:row>
      <xdr:rowOff>60960</xdr:rowOff>
    </xdr:to>
    <mc:AlternateContent xmlns:mc="http://schemas.openxmlformats.org/markup-compatibility/2006">
      <mc:Choice xmlns:a14="http://schemas.microsoft.com/office/drawing/2010/main" Requires="a14">
        <xdr:graphicFrame macro="">
          <xdr:nvGraphicFramePr>
            <xdr:cNvPr id="7" name="entry_method">
              <a:extLst>
                <a:ext uri="{FF2B5EF4-FFF2-40B4-BE49-F238E27FC236}">
                  <a16:creationId xmlns:a16="http://schemas.microsoft.com/office/drawing/2014/main" id="{B294B79F-6B8D-4715-827B-E8895E423406}"/>
                </a:ext>
              </a:extLst>
            </xdr:cNvPr>
            <xdr:cNvGraphicFramePr/>
          </xdr:nvGraphicFramePr>
          <xdr:xfrm>
            <a:off x="0" y="0"/>
            <a:ext cx="0" cy="0"/>
          </xdr:xfrm>
          <a:graphic>
            <a:graphicData uri="http://schemas.microsoft.com/office/drawing/2010/slicer">
              <sle:slicer xmlns:sle="http://schemas.microsoft.com/office/drawing/2010/slicer" name="entry_method"/>
            </a:graphicData>
          </a:graphic>
        </xdr:graphicFrame>
      </mc:Choice>
      <mc:Fallback>
        <xdr:sp macro="" textlink="">
          <xdr:nvSpPr>
            <xdr:cNvPr id="0" name=""/>
            <xdr:cNvSpPr>
              <a:spLocks noTextEdit="1"/>
            </xdr:cNvSpPr>
          </xdr:nvSpPr>
          <xdr:spPr>
            <a:xfrm>
              <a:off x="266700" y="1790700"/>
              <a:ext cx="1828800"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7620</xdr:colOff>
      <xdr:row>23</xdr:row>
      <xdr:rowOff>129540</xdr:rowOff>
    </xdr:from>
    <xdr:to>
      <xdr:col>5</xdr:col>
      <xdr:colOff>99060</xdr:colOff>
      <xdr:row>32</xdr:row>
      <xdr:rowOff>38100</xdr:rowOff>
    </xdr:to>
    <mc:AlternateContent xmlns:mc="http://schemas.openxmlformats.org/markup-compatibility/2006">
      <mc:Choice xmlns:a14="http://schemas.microsoft.com/office/drawing/2010/main" Requires="a14">
        <xdr:graphicFrame macro="">
          <xdr:nvGraphicFramePr>
            <xdr:cNvPr id="8" name="age_bucket">
              <a:extLst>
                <a:ext uri="{FF2B5EF4-FFF2-40B4-BE49-F238E27FC236}">
                  <a16:creationId xmlns:a16="http://schemas.microsoft.com/office/drawing/2014/main" id="{9C9D229A-AD68-4E79-873A-4734503286DA}"/>
                </a:ext>
              </a:extLst>
            </xdr:cNvPr>
            <xdr:cNvGraphicFramePr/>
          </xdr:nvGraphicFramePr>
          <xdr:xfrm>
            <a:off x="0" y="0"/>
            <a:ext cx="0" cy="0"/>
          </xdr:xfrm>
          <a:graphic>
            <a:graphicData uri="http://schemas.microsoft.com/office/drawing/2010/slicer">
              <sle:slicer xmlns:sle="http://schemas.microsoft.com/office/drawing/2010/slicer" name="age_bucket"/>
            </a:graphicData>
          </a:graphic>
        </xdr:graphicFrame>
      </mc:Choice>
      <mc:Fallback>
        <xdr:sp macro="" textlink="">
          <xdr:nvSpPr>
            <xdr:cNvPr id="0" name=""/>
            <xdr:cNvSpPr>
              <a:spLocks noTextEdit="1"/>
            </xdr:cNvSpPr>
          </xdr:nvSpPr>
          <xdr:spPr>
            <a:xfrm>
              <a:off x="198120" y="4602480"/>
              <a:ext cx="1828800" cy="15544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7620</xdr:colOff>
      <xdr:row>32</xdr:row>
      <xdr:rowOff>71628</xdr:rowOff>
    </xdr:from>
    <xdr:to>
      <xdr:col>5</xdr:col>
      <xdr:colOff>99060</xdr:colOff>
      <xdr:row>40</xdr:row>
      <xdr:rowOff>25908</xdr:rowOff>
    </xdr:to>
    <mc:AlternateContent xmlns:mc="http://schemas.openxmlformats.org/markup-compatibility/2006">
      <mc:Choice xmlns:a14="http://schemas.microsoft.com/office/drawing/2010/main" Requires="a14">
        <xdr:graphicFrame macro="">
          <xdr:nvGraphicFramePr>
            <xdr:cNvPr id="9" name="escalate_to">
              <a:extLst>
                <a:ext uri="{FF2B5EF4-FFF2-40B4-BE49-F238E27FC236}">
                  <a16:creationId xmlns:a16="http://schemas.microsoft.com/office/drawing/2014/main" id="{D35D1C15-7162-4D83-A587-D5647A35C268}"/>
                </a:ext>
              </a:extLst>
            </xdr:cNvPr>
            <xdr:cNvGraphicFramePr/>
          </xdr:nvGraphicFramePr>
          <xdr:xfrm>
            <a:off x="0" y="0"/>
            <a:ext cx="0" cy="0"/>
          </xdr:xfrm>
          <a:graphic>
            <a:graphicData uri="http://schemas.microsoft.com/office/drawing/2010/slicer">
              <sle:slicer xmlns:sle="http://schemas.microsoft.com/office/drawing/2010/slicer" name="escalate_to"/>
            </a:graphicData>
          </a:graphic>
        </xdr:graphicFrame>
      </mc:Choice>
      <mc:Fallback>
        <xdr:sp macro="" textlink="">
          <xdr:nvSpPr>
            <xdr:cNvPr id="0" name=""/>
            <xdr:cNvSpPr>
              <a:spLocks noTextEdit="1"/>
            </xdr:cNvSpPr>
          </xdr:nvSpPr>
          <xdr:spPr>
            <a:xfrm>
              <a:off x="198120" y="6190488"/>
              <a:ext cx="1828800" cy="14173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OLUWATIFE" refreshedDate="46304.359095023145" createdVersion="8" refreshedVersion="8" minRefreshableVersion="3" recordCount="195" xr:uid="{803E4025-C506-45BA-B883-5B5F22AF2BA5}">
  <cacheSource type="worksheet">
    <worksheetSource name="tblExceptions"/>
  </cacheSource>
  <cacheFields count="24">
    <cacheField name="trade_id" numFmtId="0">
      <sharedItems count="180">
        <s v="T00019"/>
        <s v="T00103"/>
        <s v="T00104"/>
        <s v="T00105"/>
        <s v="T00106"/>
        <s v="T00107"/>
        <s v="T00108"/>
        <s v="T00109"/>
        <s v="T00110"/>
        <s v="T00111"/>
        <s v="T00112"/>
        <s v="T00113"/>
        <s v="T00114"/>
        <s v="T00115"/>
        <s v="T00116"/>
        <s v="T00160"/>
        <s v="T00167"/>
        <s v="T00193"/>
        <s v="T00207"/>
        <s v="T00217"/>
        <s v="T00218"/>
        <s v="T00219"/>
        <s v="T00220"/>
        <s v="T00221"/>
        <s v="T00222"/>
        <s v="T00223"/>
        <s v="T00224"/>
        <s v="T00225"/>
        <s v="T00226"/>
        <s v="T00227"/>
        <s v="T00228"/>
        <s v="T00229"/>
        <s v="T00230"/>
        <s v="T00358"/>
        <s v="T00359"/>
        <s v="T00360"/>
        <s v="T00361"/>
        <s v="T00362"/>
        <s v="T00363"/>
        <s v="T00364"/>
        <s v="T00365"/>
        <s v="T00366"/>
        <s v="T00367"/>
        <s v="T00368"/>
        <s v="T00369"/>
        <s v="T00382"/>
        <s v="T00489"/>
        <s v="T00490"/>
        <s v="T00491"/>
        <s v="T00492"/>
        <s v="T00493"/>
        <s v="T00494"/>
        <s v="T00495"/>
        <s v="T00496"/>
        <s v="T00497"/>
        <s v="T00498"/>
        <s v="T00499"/>
        <s v="T00500"/>
        <s v="T00501"/>
        <s v="T00502"/>
        <s v="T00613"/>
        <s v="T00614"/>
        <s v="T00615"/>
        <s v="T00616"/>
        <s v="T00617"/>
        <s v="T00618"/>
        <s v="T00619"/>
        <s v="T00620"/>
        <s v="T00621"/>
        <s v="T00636"/>
        <s v="T00722"/>
        <s v="T00723"/>
        <s v="T00724"/>
        <s v="T00725"/>
        <s v="T00726"/>
        <s v="T00727"/>
        <s v="T00728"/>
        <s v="T00729"/>
        <s v="T00730"/>
        <s v="T00795"/>
        <s v="T00858"/>
        <s v="T00859"/>
        <s v="T00860"/>
        <s v="T00861"/>
        <s v="T00862"/>
        <s v="T00863"/>
        <s v="T00864"/>
        <s v="T00865"/>
        <s v="T00866"/>
        <s v="T00867"/>
        <s v="T00868"/>
        <s v="T00869"/>
        <s v="T00870"/>
        <s v="T00871"/>
        <s v="T00904"/>
        <s v="T00985"/>
        <s v="T00986"/>
        <s v="T00987"/>
        <s v="T00988"/>
        <s v="T00989"/>
        <s v="T00990"/>
        <s v="T00991"/>
        <s v="T01004"/>
        <s v="T01043"/>
        <s v="T01069"/>
        <s v="T01122"/>
        <s v="T01123"/>
        <s v="T01124"/>
        <s v="T01125"/>
        <s v="T01126"/>
        <s v="T01127"/>
        <s v="T01128"/>
        <s v="T01129"/>
        <s v="T01130"/>
        <s v="T01219"/>
        <s v="T01241"/>
        <s v="T01242"/>
        <s v="T01243"/>
        <s v="T01244"/>
        <s v="T01245"/>
        <s v="T01246"/>
        <s v="T01247"/>
        <s v="T01248"/>
        <s v="T01249"/>
        <s v="T01367"/>
        <s v="T01368"/>
        <s v="T01369"/>
        <s v="T01370"/>
        <s v="T01371"/>
        <s v="T01372"/>
        <s v="T01373"/>
        <s v="T01374"/>
        <s v="T01375"/>
        <s v="T01376"/>
        <s v="T01377"/>
        <s v="T01378"/>
        <s v="T01379"/>
        <s v="T01380"/>
        <s v="T01381"/>
        <s v="T01382"/>
        <s v="T01383"/>
        <s v="T01384"/>
        <s v="T01385"/>
        <s v="T01496"/>
        <s v="T01504"/>
        <s v="T01505"/>
        <s v="T01506"/>
        <s v="T01507"/>
        <s v="T01508"/>
        <s v="T01624"/>
        <s v="T01625"/>
        <s v="T01626"/>
        <s v="T01627"/>
        <s v="T01628"/>
        <s v="T01629"/>
        <s v="T01630"/>
        <s v="T01631"/>
        <s v="T01632"/>
        <s v="T01633"/>
        <s v="T01634"/>
        <s v="T01635"/>
        <s v="T01636"/>
        <s v="T01637"/>
        <s v="T01685"/>
        <s v="T01754"/>
        <s v="T01755"/>
        <s v="T01756"/>
        <s v="T01757"/>
        <s v="T01758"/>
        <s v="T01759"/>
        <s v="T01862"/>
        <s v="T01863"/>
        <s v="T01864"/>
        <s v="T01865"/>
        <s v="T01980"/>
        <s v="T01981"/>
        <s v="T01982"/>
        <s v="T01983"/>
        <s v="T01984"/>
        <s v="T01985"/>
      </sharedItems>
    </cacheField>
    <cacheField name="trade_date" numFmtId="164">
      <sharedItems containsSemiMixedTypes="0" containsNonDate="0" containsDate="1" containsString="0" minDate="2026-09-09T00:00:00" maxDate="2026-10-01T00:00:00"/>
    </cacheField>
    <cacheField name="settlement_date" numFmtId="0">
      <sharedItems containsNonDate="0" containsDate="1" containsString="0" containsBlank="1" minDate="2026-09-06T00:00:00" maxDate="2026-10-04T00:00:00"/>
    </cacheField>
    <cacheField name="counterparty_id" numFmtId="0">
      <sharedItems containsBlank="1"/>
    </cacheField>
    <cacheField name="product_id" numFmtId="0">
      <sharedItems/>
    </cacheField>
    <cacheField name="side" numFmtId="0">
      <sharedItems/>
    </cacheField>
    <cacheField name="quantity" numFmtId="0">
      <sharedItems containsString="0" containsBlank="1" containsNumber="1" containsInteger="1" minValue="100" maxValue="146700"/>
    </cacheField>
    <cacheField name="price" numFmtId="0">
      <sharedItems containsString="0" containsBlank="1" containsNumber="1" minValue="25.06" maxValue="214.41"/>
    </cacheField>
    <cacheField name="currency" numFmtId="0">
      <sharedItems/>
    </cacheField>
    <cacheField name="booking_desk" numFmtId="0">
      <sharedItems count="5">
        <s v="London Rates"/>
        <s v="London Credit"/>
        <s v="EMEA Equities"/>
        <s v="ETF Desk"/>
        <s v="Cash Equities"/>
      </sharedItems>
    </cacheField>
    <cacheField name="entry_method" numFmtId="0">
      <sharedItems count="2">
        <s v="Electronic"/>
        <s v="Manual"/>
      </sharedItems>
    </cacheField>
    <cacheField name="issues" numFmtId="0">
      <sharedItems/>
    </cacheField>
    <cacheField name="days_open" numFmtId="0">
      <sharedItems containsSemiMixedTypes="0" containsString="0" containsNumber="1" containsInteger="1" minValue="0" maxValue="21"/>
    </cacheField>
    <cacheField name="age_bucket" numFmtId="0">
      <sharedItems count="4">
        <s v="Over 10 days"/>
        <s v="6-10 days"/>
        <s v="3-5 days"/>
        <s v="0-2 days"/>
      </sharedItems>
    </cacheField>
    <cacheField name="escalate_to" numFmtId="0">
      <sharedItems count="4">
        <s v="Head of operations"/>
        <s v="Operations manager"/>
        <s v="Team lead"/>
        <s v="Operations analyst"/>
      </sharedItems>
    </cacheField>
    <cacheField name="missing_field" numFmtId="0">
      <sharedItems containsSemiMixedTypes="0" containsString="0" containsNumber="1" containsInteger="1" minValue="0" maxValue="1"/>
    </cacheField>
    <cacheField name="unknown_counterparty" numFmtId="0">
      <sharedItems containsSemiMixedTypes="0" containsString="0" containsNumber="1" containsInteger="1" minValue="0" maxValue="1"/>
    </cacheField>
    <cacheField name="unknown_product" numFmtId="0">
      <sharedItems containsSemiMixedTypes="0" containsString="0" containsNumber="1" containsInteger="1" minValue="0" maxValue="1"/>
    </cacheField>
    <cacheField name="settle_before_trade" numFmtId="0">
      <sharedItems containsSemiMixedTypes="0" containsString="0" containsNumber="1" containsInteger="1" minValue="0" maxValue="1"/>
    </cacheField>
    <cacheField name="settle_on_weekend" numFmtId="0">
      <sharedItems containsSemiMixedTypes="0" containsString="0" containsNumber="1" containsInteger="1" minValue="0" maxValue="1"/>
    </cacheField>
    <cacheField name="quantity_over_limit" numFmtId="0">
      <sharedItems containsSemiMixedTypes="0" containsString="0" containsNumber="1" containsInteger="1" minValue="0" maxValue="1"/>
    </cacheField>
    <cacheField name="suspended_counterparty" numFmtId="0">
      <sharedItems containsSemiMixedTypes="0" containsString="0" containsNumber="1" containsInteger="1" minValue="0" maxValue="1"/>
    </cacheField>
    <cacheField name="currency_mismatch" numFmtId="0">
      <sharedItems containsSemiMixedTypes="0" containsString="0" containsNumber="1" containsInteger="1" minValue="0" maxValue="1"/>
    </cacheField>
    <cacheField name="duplicate_trade_id"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9108370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5">
  <r>
    <x v="0"/>
    <d v="2026-09-09T00:00:00"/>
    <d v="2026-09-11T00:00:00"/>
    <s v="CP008"/>
    <s v="GB0005"/>
    <s v="BUY"/>
    <n v="15000"/>
    <n v="104.04"/>
    <s v="EUR"/>
    <x v="0"/>
    <x v="0"/>
    <s v="duplicate_trade_id"/>
    <n v="21"/>
    <x v="0"/>
    <x v="0"/>
    <n v="0"/>
    <n v="0"/>
    <n v="0"/>
    <n v="0"/>
    <n v="0"/>
    <n v="0"/>
    <n v="0"/>
    <n v="0"/>
    <n v="1"/>
  </r>
  <r>
    <x v="1"/>
    <d v="2026-09-09T00:00:00"/>
    <d v="2026-09-11T00:00:00"/>
    <s v="CP007"/>
    <s v="ET0002"/>
    <s v="BUY"/>
    <m/>
    <n v="145.63999999999999"/>
    <s v="GBP"/>
    <x v="1"/>
    <x v="1"/>
    <s v="missing_field"/>
    <n v="21"/>
    <x v="0"/>
    <x v="0"/>
    <n v="1"/>
    <n v="0"/>
    <n v="0"/>
    <n v="0"/>
    <n v="0"/>
    <n v="0"/>
    <n v="0"/>
    <n v="0"/>
    <n v="0"/>
  </r>
  <r>
    <x v="2"/>
    <d v="2026-09-09T00:00:00"/>
    <d v="2026-09-11T00:00:00"/>
    <s v="CP055"/>
    <s v="CB0006"/>
    <s v="BUY"/>
    <n v="8000"/>
    <n v="108.03"/>
    <s v="USD"/>
    <x v="1"/>
    <x v="0"/>
    <s v="unknown_counterparty"/>
    <n v="21"/>
    <x v="0"/>
    <x v="0"/>
    <n v="0"/>
    <n v="1"/>
    <n v="0"/>
    <n v="0"/>
    <n v="0"/>
    <n v="0"/>
    <n v="0"/>
    <n v="0"/>
    <n v="0"/>
  </r>
  <r>
    <x v="3"/>
    <d v="2026-09-09T00:00:00"/>
    <d v="2026-09-11T00:00:00"/>
    <s v="CP097"/>
    <s v="EQ0007"/>
    <s v="SELL"/>
    <n v="34900"/>
    <n v="96.48"/>
    <s v="GBP"/>
    <x v="0"/>
    <x v="1"/>
    <s v="unknown_counterparty"/>
    <n v="21"/>
    <x v="0"/>
    <x v="0"/>
    <n v="0"/>
    <n v="1"/>
    <n v="0"/>
    <n v="0"/>
    <n v="0"/>
    <n v="0"/>
    <n v="0"/>
    <n v="0"/>
    <n v="0"/>
  </r>
  <r>
    <x v="4"/>
    <d v="2026-09-09T00:00:00"/>
    <d v="2026-09-11T00:00:00"/>
    <s v="CP080"/>
    <s v="GB0001"/>
    <s v="SELL"/>
    <n v="16000"/>
    <n v="103.17"/>
    <s v="EUR"/>
    <x v="2"/>
    <x v="1"/>
    <s v="unknown_counterparty"/>
    <n v="21"/>
    <x v="0"/>
    <x v="0"/>
    <n v="0"/>
    <n v="1"/>
    <n v="0"/>
    <n v="0"/>
    <n v="0"/>
    <n v="0"/>
    <n v="0"/>
    <n v="0"/>
    <n v="0"/>
  </r>
  <r>
    <x v="5"/>
    <d v="2026-09-09T00:00:00"/>
    <d v="2026-09-11T00:00:00"/>
    <s v="CP189"/>
    <s v="EQ0008"/>
    <s v="BUY"/>
    <n v="25700"/>
    <n v="95.42"/>
    <s v="USD"/>
    <x v="0"/>
    <x v="1"/>
    <s v="unknown_counterparty"/>
    <n v="21"/>
    <x v="0"/>
    <x v="0"/>
    <n v="0"/>
    <n v="1"/>
    <n v="0"/>
    <n v="0"/>
    <n v="0"/>
    <n v="0"/>
    <n v="0"/>
    <n v="0"/>
    <n v="0"/>
  </r>
  <r>
    <x v="6"/>
    <d v="2026-09-09T00:00:00"/>
    <d v="2026-09-11T00:00:00"/>
    <s v="CP038"/>
    <s v="EQ0067"/>
    <s v="SELL"/>
    <n v="15100"/>
    <n v="144.88"/>
    <s v="GBP"/>
    <x v="1"/>
    <x v="1"/>
    <s v="unknown_product"/>
    <n v="21"/>
    <x v="0"/>
    <x v="0"/>
    <n v="0"/>
    <n v="0"/>
    <n v="1"/>
    <n v="0"/>
    <n v="0"/>
    <n v="0"/>
    <n v="0"/>
    <n v="0"/>
    <n v="0"/>
  </r>
  <r>
    <x v="7"/>
    <d v="2026-09-09T00:00:00"/>
    <d v="2026-09-06T00:00:00"/>
    <s v="CP040"/>
    <s v="GB0004"/>
    <s v="SELL"/>
    <n v="9000"/>
    <n v="100.35"/>
    <s v="GBP"/>
    <x v="3"/>
    <x v="0"/>
    <s v="settle_before_trade, settle_on_weekend"/>
    <n v="21"/>
    <x v="0"/>
    <x v="0"/>
    <n v="0"/>
    <n v="0"/>
    <n v="0"/>
    <n v="1"/>
    <n v="1"/>
    <n v="0"/>
    <n v="0"/>
    <n v="0"/>
    <n v="0"/>
  </r>
  <r>
    <x v="8"/>
    <d v="2026-09-09T00:00:00"/>
    <d v="2026-09-12T00:00:00"/>
    <s v="CP011"/>
    <s v="CB0008"/>
    <s v="BUY"/>
    <n v="13000"/>
    <n v="107.37"/>
    <s v="USD"/>
    <x v="3"/>
    <x v="1"/>
    <s v="settle_on_weekend"/>
    <n v="21"/>
    <x v="0"/>
    <x v="0"/>
    <n v="0"/>
    <n v="0"/>
    <n v="0"/>
    <n v="0"/>
    <n v="1"/>
    <n v="0"/>
    <n v="0"/>
    <n v="0"/>
    <n v="0"/>
  </r>
  <r>
    <x v="9"/>
    <d v="2026-09-09T00:00:00"/>
    <d v="2026-09-12T00:00:00"/>
    <s v="CP040"/>
    <s v="EQ0010"/>
    <s v="BUY"/>
    <n v="8500"/>
    <n v="71.05"/>
    <s v="USD"/>
    <x v="0"/>
    <x v="1"/>
    <s v="settle_on_weekend"/>
    <n v="21"/>
    <x v="0"/>
    <x v="0"/>
    <n v="0"/>
    <n v="0"/>
    <n v="0"/>
    <n v="0"/>
    <n v="1"/>
    <n v="0"/>
    <n v="0"/>
    <n v="0"/>
    <n v="0"/>
  </r>
  <r>
    <x v="10"/>
    <d v="2026-09-09T00:00:00"/>
    <d v="2026-09-11T00:00:00"/>
    <s v="CP030"/>
    <s v="GB0006"/>
    <s v="SELL"/>
    <n v="62000"/>
    <n v="99.21"/>
    <s v="USD"/>
    <x v="3"/>
    <x v="1"/>
    <s v="quantity_over_limit"/>
    <n v="21"/>
    <x v="0"/>
    <x v="0"/>
    <n v="0"/>
    <n v="0"/>
    <n v="0"/>
    <n v="0"/>
    <n v="0"/>
    <n v="1"/>
    <n v="0"/>
    <n v="0"/>
    <n v="0"/>
  </r>
  <r>
    <x v="11"/>
    <d v="2026-09-09T00:00:00"/>
    <d v="2026-09-11T00:00:00"/>
    <s v="CP032"/>
    <s v="GB0006"/>
    <s v="BUY"/>
    <n v="41500"/>
    <n v="104.1"/>
    <s v="USD"/>
    <x v="1"/>
    <x v="1"/>
    <s v="quantity_over_limit"/>
    <n v="21"/>
    <x v="0"/>
    <x v="0"/>
    <n v="0"/>
    <n v="0"/>
    <n v="0"/>
    <n v="0"/>
    <n v="0"/>
    <n v="1"/>
    <n v="0"/>
    <n v="0"/>
    <n v="0"/>
  </r>
  <r>
    <x v="12"/>
    <d v="2026-09-09T00:00:00"/>
    <d v="2026-09-11T00:00:00"/>
    <s v="CP027"/>
    <s v="CB0002"/>
    <s v="SELL"/>
    <n v="16000"/>
    <n v="94.31"/>
    <s v="EUR"/>
    <x v="0"/>
    <x v="1"/>
    <s v="suspended_counterparty"/>
    <n v="21"/>
    <x v="0"/>
    <x v="0"/>
    <n v="0"/>
    <n v="0"/>
    <n v="0"/>
    <n v="0"/>
    <n v="0"/>
    <n v="0"/>
    <n v="1"/>
    <n v="0"/>
    <n v="0"/>
  </r>
  <r>
    <x v="13"/>
    <d v="2026-09-09T00:00:00"/>
    <d v="2026-09-11T00:00:00"/>
    <s v="CP033"/>
    <s v="EQ0010"/>
    <s v="SELL"/>
    <n v="33600"/>
    <n v="72.05"/>
    <s v="USD"/>
    <x v="1"/>
    <x v="1"/>
    <s v="suspended_counterparty"/>
    <n v="21"/>
    <x v="0"/>
    <x v="0"/>
    <n v="0"/>
    <n v="0"/>
    <n v="0"/>
    <n v="0"/>
    <n v="0"/>
    <n v="0"/>
    <n v="1"/>
    <n v="0"/>
    <n v="0"/>
  </r>
  <r>
    <x v="14"/>
    <d v="2026-09-09T00:00:00"/>
    <d v="2026-09-11T00:00:00"/>
    <s v="CP020"/>
    <s v="GB0004"/>
    <s v="BUY"/>
    <n v="9000"/>
    <n v="104.03"/>
    <s v="EUR"/>
    <x v="1"/>
    <x v="1"/>
    <s v="currency_mismatch"/>
    <n v="21"/>
    <x v="0"/>
    <x v="0"/>
    <n v="0"/>
    <n v="0"/>
    <n v="0"/>
    <n v="0"/>
    <n v="0"/>
    <n v="0"/>
    <n v="0"/>
    <n v="1"/>
    <n v="0"/>
  </r>
  <r>
    <x v="0"/>
    <d v="2026-09-09T00:00:00"/>
    <d v="2026-09-11T00:00:00"/>
    <s v="CP008"/>
    <s v="GB0005"/>
    <s v="BUY"/>
    <n v="15000"/>
    <n v="104.04"/>
    <s v="EUR"/>
    <x v="0"/>
    <x v="0"/>
    <s v="duplicate_trade_id"/>
    <n v="21"/>
    <x v="0"/>
    <x v="0"/>
    <n v="0"/>
    <n v="0"/>
    <n v="0"/>
    <n v="0"/>
    <n v="0"/>
    <n v="0"/>
    <n v="0"/>
    <n v="0"/>
    <n v="1"/>
  </r>
  <r>
    <x v="15"/>
    <d v="2026-09-10T00:00:00"/>
    <d v="2026-09-14T00:00:00"/>
    <s v="CP013"/>
    <s v="EQ0005"/>
    <s v="SELL"/>
    <n v="18400"/>
    <n v="187.3"/>
    <s v="USD"/>
    <x v="3"/>
    <x v="0"/>
    <s v="duplicate_trade_id"/>
    <n v="20"/>
    <x v="0"/>
    <x v="0"/>
    <n v="0"/>
    <n v="0"/>
    <n v="0"/>
    <n v="0"/>
    <n v="0"/>
    <n v="0"/>
    <n v="0"/>
    <n v="0"/>
    <n v="1"/>
  </r>
  <r>
    <x v="16"/>
    <d v="2026-09-10T00:00:00"/>
    <d v="2026-09-14T00:00:00"/>
    <s v="CP008"/>
    <s v="GB0004"/>
    <s v="SELL"/>
    <n v="8000"/>
    <n v="105.41"/>
    <s v="GBP"/>
    <x v="0"/>
    <x v="0"/>
    <s v="duplicate_trade_id"/>
    <n v="20"/>
    <x v="0"/>
    <x v="0"/>
    <n v="0"/>
    <n v="0"/>
    <n v="0"/>
    <n v="0"/>
    <n v="0"/>
    <n v="0"/>
    <n v="0"/>
    <n v="0"/>
    <n v="1"/>
  </r>
  <r>
    <x v="17"/>
    <d v="2026-09-10T00:00:00"/>
    <d v="2026-09-14T00:00:00"/>
    <s v="CP003"/>
    <s v="EQ0006"/>
    <s v="BUY"/>
    <n v="10300"/>
    <n v="90.78"/>
    <s v="USD"/>
    <x v="3"/>
    <x v="0"/>
    <s v="duplicate_trade_id"/>
    <n v="20"/>
    <x v="0"/>
    <x v="0"/>
    <n v="0"/>
    <n v="0"/>
    <n v="0"/>
    <n v="0"/>
    <n v="0"/>
    <n v="0"/>
    <n v="0"/>
    <n v="0"/>
    <n v="1"/>
  </r>
  <r>
    <x v="18"/>
    <d v="2026-09-10T00:00:00"/>
    <d v="2026-09-14T00:00:00"/>
    <s v="CP010"/>
    <s v="EQ0006"/>
    <s v="BUY"/>
    <n v="32200"/>
    <n v="88.02"/>
    <s v="USD"/>
    <x v="1"/>
    <x v="0"/>
    <s v="duplicate_trade_id"/>
    <n v="20"/>
    <x v="0"/>
    <x v="0"/>
    <n v="0"/>
    <n v="0"/>
    <n v="0"/>
    <n v="0"/>
    <n v="0"/>
    <n v="0"/>
    <n v="0"/>
    <n v="0"/>
    <n v="1"/>
  </r>
  <r>
    <x v="19"/>
    <d v="2026-09-10T00:00:00"/>
    <d v="2026-09-14T00:00:00"/>
    <m/>
    <s v="CB0004"/>
    <s v="BUY"/>
    <n v="5000"/>
    <n v="101.92"/>
    <s v="GBP"/>
    <x v="1"/>
    <x v="1"/>
    <s v="missing_field"/>
    <n v="20"/>
    <x v="0"/>
    <x v="0"/>
    <n v="1"/>
    <n v="0"/>
    <n v="0"/>
    <n v="0"/>
    <n v="0"/>
    <n v="0"/>
    <n v="0"/>
    <n v="0"/>
    <n v="0"/>
  </r>
  <r>
    <x v="20"/>
    <d v="2026-09-10T00:00:00"/>
    <d v="2026-09-14T00:00:00"/>
    <s v="CP138"/>
    <s v="EQ0002"/>
    <s v="BUY"/>
    <n v="22300"/>
    <n v="117.46"/>
    <s v="EUR"/>
    <x v="3"/>
    <x v="1"/>
    <s v="unknown_counterparty"/>
    <n v="20"/>
    <x v="0"/>
    <x v="0"/>
    <n v="0"/>
    <n v="1"/>
    <n v="0"/>
    <n v="0"/>
    <n v="0"/>
    <n v="0"/>
    <n v="0"/>
    <n v="0"/>
    <n v="0"/>
  </r>
  <r>
    <x v="21"/>
    <d v="2026-09-10T00:00:00"/>
    <d v="2026-09-14T00:00:00"/>
    <s v="CP046"/>
    <s v="GB0003"/>
    <s v="BUY"/>
    <n v="20000"/>
    <n v="98.68"/>
    <s v="EUR"/>
    <x v="1"/>
    <x v="0"/>
    <s v="unknown_counterparty"/>
    <n v="20"/>
    <x v="0"/>
    <x v="0"/>
    <n v="0"/>
    <n v="1"/>
    <n v="0"/>
    <n v="0"/>
    <n v="0"/>
    <n v="0"/>
    <n v="0"/>
    <n v="0"/>
    <n v="0"/>
  </r>
  <r>
    <x v="22"/>
    <d v="2026-09-10T00:00:00"/>
    <d v="2026-09-14T00:00:00"/>
    <s v="CP038"/>
    <s v="EQ0071"/>
    <s v="SELL"/>
    <n v="7000"/>
    <n v="104.07"/>
    <s v="USD"/>
    <x v="0"/>
    <x v="1"/>
    <s v="unknown_product"/>
    <n v="20"/>
    <x v="0"/>
    <x v="0"/>
    <n v="0"/>
    <n v="0"/>
    <n v="1"/>
    <n v="0"/>
    <n v="0"/>
    <n v="0"/>
    <n v="0"/>
    <n v="0"/>
    <n v="0"/>
  </r>
  <r>
    <x v="23"/>
    <d v="2026-09-10T00:00:00"/>
    <d v="2026-09-09T00:00:00"/>
    <s v="CP026"/>
    <s v="EQ0007"/>
    <s v="BUY"/>
    <n v="17800"/>
    <n v="96.63"/>
    <s v="GBP"/>
    <x v="0"/>
    <x v="0"/>
    <s v="settle_before_trade"/>
    <n v="20"/>
    <x v="0"/>
    <x v="0"/>
    <n v="0"/>
    <n v="0"/>
    <n v="0"/>
    <n v="1"/>
    <n v="0"/>
    <n v="0"/>
    <n v="0"/>
    <n v="0"/>
    <n v="0"/>
  </r>
  <r>
    <x v="24"/>
    <d v="2026-09-10T00:00:00"/>
    <d v="2026-09-07T00:00:00"/>
    <s v="CP040"/>
    <s v="EQ0003"/>
    <s v="BUY"/>
    <n v="38800"/>
    <n v="211.18"/>
    <s v="EUR"/>
    <x v="2"/>
    <x v="1"/>
    <s v="settle_before_trade"/>
    <n v="20"/>
    <x v="0"/>
    <x v="0"/>
    <n v="0"/>
    <n v="0"/>
    <n v="0"/>
    <n v="1"/>
    <n v="0"/>
    <n v="0"/>
    <n v="0"/>
    <n v="0"/>
    <n v="0"/>
  </r>
  <r>
    <x v="25"/>
    <d v="2026-09-10T00:00:00"/>
    <d v="2026-09-08T00:00:00"/>
    <s v="CP013"/>
    <s v="CB0003"/>
    <s v="SELL"/>
    <n v="10000"/>
    <n v="105.9"/>
    <s v="USD"/>
    <x v="1"/>
    <x v="1"/>
    <s v="settle_before_trade"/>
    <n v="20"/>
    <x v="0"/>
    <x v="0"/>
    <n v="0"/>
    <n v="0"/>
    <n v="0"/>
    <n v="1"/>
    <n v="0"/>
    <n v="0"/>
    <n v="0"/>
    <n v="0"/>
    <n v="0"/>
  </r>
  <r>
    <x v="26"/>
    <d v="2026-09-10T00:00:00"/>
    <d v="2026-09-14T00:00:00"/>
    <s v="CP018"/>
    <s v="EQ0006"/>
    <s v="SELL"/>
    <n v="116800"/>
    <n v="89.05"/>
    <s v="USD"/>
    <x v="2"/>
    <x v="1"/>
    <s v="quantity_over_limit"/>
    <n v="20"/>
    <x v="0"/>
    <x v="0"/>
    <n v="0"/>
    <n v="0"/>
    <n v="0"/>
    <n v="0"/>
    <n v="0"/>
    <n v="1"/>
    <n v="0"/>
    <n v="0"/>
    <n v="0"/>
  </r>
  <r>
    <x v="27"/>
    <d v="2026-09-10T00:00:00"/>
    <d v="2026-09-14T00:00:00"/>
    <s v="CP023"/>
    <s v="GB0001"/>
    <s v="SELL"/>
    <n v="42800"/>
    <n v="107.46"/>
    <s v="EUR"/>
    <x v="3"/>
    <x v="1"/>
    <s v="quantity_over_limit"/>
    <n v="20"/>
    <x v="0"/>
    <x v="0"/>
    <n v="0"/>
    <n v="0"/>
    <n v="0"/>
    <n v="0"/>
    <n v="0"/>
    <n v="1"/>
    <n v="0"/>
    <n v="0"/>
    <n v="0"/>
  </r>
  <r>
    <x v="28"/>
    <d v="2026-09-10T00:00:00"/>
    <d v="2026-09-14T00:00:00"/>
    <s v="CP010"/>
    <s v="CB0006"/>
    <s v="BUY"/>
    <n v="38100"/>
    <n v="102.67"/>
    <s v="USD"/>
    <x v="1"/>
    <x v="1"/>
    <s v="quantity_over_limit"/>
    <n v="20"/>
    <x v="0"/>
    <x v="0"/>
    <n v="0"/>
    <n v="0"/>
    <n v="0"/>
    <n v="0"/>
    <n v="0"/>
    <n v="1"/>
    <n v="0"/>
    <n v="0"/>
    <n v="0"/>
  </r>
  <r>
    <x v="29"/>
    <d v="2026-09-10T00:00:00"/>
    <d v="2026-09-14T00:00:00"/>
    <s v="CP009"/>
    <s v="GB0007"/>
    <s v="BUY"/>
    <n v="45900"/>
    <n v="104.13"/>
    <s v="USD"/>
    <x v="1"/>
    <x v="1"/>
    <s v="quantity_over_limit"/>
    <n v="20"/>
    <x v="0"/>
    <x v="0"/>
    <n v="0"/>
    <n v="0"/>
    <n v="0"/>
    <n v="0"/>
    <n v="0"/>
    <n v="1"/>
    <n v="0"/>
    <n v="0"/>
    <n v="0"/>
  </r>
  <r>
    <x v="30"/>
    <d v="2026-09-10T00:00:00"/>
    <d v="2026-09-14T00:00:00"/>
    <s v="CP006"/>
    <s v="CB0003"/>
    <s v="SELL"/>
    <n v="6000"/>
    <n v="106.67"/>
    <s v="USD"/>
    <x v="3"/>
    <x v="1"/>
    <s v="suspended_counterparty"/>
    <n v="20"/>
    <x v="0"/>
    <x v="0"/>
    <n v="0"/>
    <n v="0"/>
    <n v="0"/>
    <n v="0"/>
    <n v="0"/>
    <n v="0"/>
    <n v="1"/>
    <n v="0"/>
    <n v="0"/>
  </r>
  <r>
    <x v="31"/>
    <d v="2026-09-10T00:00:00"/>
    <d v="2026-09-14T00:00:00"/>
    <s v="CP039"/>
    <s v="EQ0012"/>
    <s v="BUY"/>
    <n v="5000"/>
    <n v="65.2"/>
    <s v="GBP"/>
    <x v="2"/>
    <x v="0"/>
    <s v="suspended_counterparty"/>
    <n v="20"/>
    <x v="0"/>
    <x v="0"/>
    <n v="0"/>
    <n v="0"/>
    <n v="0"/>
    <n v="0"/>
    <n v="0"/>
    <n v="0"/>
    <n v="1"/>
    <n v="0"/>
    <n v="0"/>
  </r>
  <r>
    <x v="32"/>
    <d v="2026-09-10T00:00:00"/>
    <d v="2026-09-14T00:00:00"/>
    <s v="CP007"/>
    <s v="CB0008"/>
    <s v="SELL"/>
    <n v="15000"/>
    <n v="107.53"/>
    <s v="EUR"/>
    <x v="2"/>
    <x v="1"/>
    <s v="currency_mismatch"/>
    <n v="20"/>
    <x v="0"/>
    <x v="0"/>
    <n v="0"/>
    <n v="0"/>
    <n v="0"/>
    <n v="0"/>
    <n v="0"/>
    <n v="0"/>
    <n v="0"/>
    <n v="1"/>
    <n v="0"/>
  </r>
  <r>
    <x v="15"/>
    <d v="2026-09-10T00:00:00"/>
    <d v="2026-09-14T00:00:00"/>
    <s v="CP013"/>
    <s v="EQ0005"/>
    <s v="SELL"/>
    <n v="18400"/>
    <n v="187.3"/>
    <s v="USD"/>
    <x v="3"/>
    <x v="0"/>
    <s v="duplicate_trade_id"/>
    <n v="20"/>
    <x v="0"/>
    <x v="0"/>
    <n v="0"/>
    <n v="0"/>
    <n v="0"/>
    <n v="0"/>
    <n v="0"/>
    <n v="0"/>
    <n v="0"/>
    <n v="0"/>
    <n v="1"/>
  </r>
  <r>
    <x v="16"/>
    <d v="2026-09-10T00:00:00"/>
    <d v="2026-09-14T00:00:00"/>
    <s v="CP008"/>
    <s v="GB0004"/>
    <s v="SELL"/>
    <n v="8000"/>
    <n v="105.41"/>
    <s v="GBP"/>
    <x v="0"/>
    <x v="0"/>
    <s v="duplicate_trade_id"/>
    <n v="20"/>
    <x v="0"/>
    <x v="0"/>
    <n v="0"/>
    <n v="0"/>
    <n v="0"/>
    <n v="0"/>
    <n v="0"/>
    <n v="0"/>
    <n v="0"/>
    <n v="0"/>
    <n v="1"/>
  </r>
  <r>
    <x v="17"/>
    <d v="2026-09-10T00:00:00"/>
    <d v="2026-09-14T00:00:00"/>
    <s v="CP003"/>
    <s v="EQ0006"/>
    <s v="BUY"/>
    <n v="10300"/>
    <n v="90.78"/>
    <s v="USD"/>
    <x v="3"/>
    <x v="0"/>
    <s v="duplicate_trade_id"/>
    <n v="20"/>
    <x v="0"/>
    <x v="0"/>
    <n v="0"/>
    <n v="0"/>
    <n v="0"/>
    <n v="0"/>
    <n v="0"/>
    <n v="0"/>
    <n v="0"/>
    <n v="0"/>
    <n v="1"/>
  </r>
  <r>
    <x v="18"/>
    <d v="2026-09-10T00:00:00"/>
    <d v="2026-09-14T00:00:00"/>
    <s v="CP010"/>
    <s v="EQ0006"/>
    <s v="BUY"/>
    <n v="32200"/>
    <n v="88.02"/>
    <s v="USD"/>
    <x v="1"/>
    <x v="0"/>
    <s v="duplicate_trade_id"/>
    <n v="20"/>
    <x v="0"/>
    <x v="0"/>
    <n v="0"/>
    <n v="0"/>
    <n v="0"/>
    <n v="0"/>
    <n v="0"/>
    <n v="0"/>
    <n v="0"/>
    <n v="0"/>
    <n v="1"/>
  </r>
  <r>
    <x v="33"/>
    <d v="2026-09-11T00:00:00"/>
    <d v="2026-09-15T00:00:00"/>
    <m/>
    <s v="CB0002"/>
    <s v="BUY"/>
    <n v="8000"/>
    <n v="96.55"/>
    <s v="EUR"/>
    <x v="4"/>
    <x v="1"/>
    <s v="missing_field"/>
    <n v="19"/>
    <x v="0"/>
    <x v="0"/>
    <n v="1"/>
    <n v="0"/>
    <n v="0"/>
    <n v="0"/>
    <n v="0"/>
    <n v="0"/>
    <n v="0"/>
    <n v="0"/>
    <n v="0"/>
  </r>
  <r>
    <x v="34"/>
    <d v="2026-09-11T00:00:00"/>
    <m/>
    <s v="CP040"/>
    <s v="CB0003"/>
    <s v="SELL"/>
    <n v="5000"/>
    <n v="102.81"/>
    <s v="USD"/>
    <x v="0"/>
    <x v="1"/>
    <s v="missing_field"/>
    <n v="19"/>
    <x v="0"/>
    <x v="0"/>
    <n v="1"/>
    <n v="0"/>
    <n v="0"/>
    <n v="0"/>
    <n v="0"/>
    <n v="0"/>
    <n v="0"/>
    <n v="0"/>
    <n v="0"/>
  </r>
  <r>
    <x v="35"/>
    <d v="2026-09-11T00:00:00"/>
    <d v="2026-09-15T00:00:00"/>
    <s v="CP143"/>
    <s v="ET0003"/>
    <s v="SELL"/>
    <n v="11900"/>
    <n v="90.27"/>
    <s v="GBP"/>
    <x v="0"/>
    <x v="0"/>
    <s v="unknown_counterparty"/>
    <n v="19"/>
    <x v="0"/>
    <x v="0"/>
    <n v="0"/>
    <n v="1"/>
    <n v="0"/>
    <n v="0"/>
    <n v="0"/>
    <n v="0"/>
    <n v="0"/>
    <n v="0"/>
    <n v="0"/>
  </r>
  <r>
    <x v="36"/>
    <d v="2026-09-11T00:00:00"/>
    <d v="2026-09-10T00:00:00"/>
    <s v="CP026"/>
    <s v="CB0008"/>
    <s v="BUY"/>
    <n v="8000"/>
    <n v="104.62"/>
    <s v="USD"/>
    <x v="2"/>
    <x v="1"/>
    <s v="settle_before_trade"/>
    <n v="19"/>
    <x v="0"/>
    <x v="0"/>
    <n v="0"/>
    <n v="0"/>
    <n v="0"/>
    <n v="1"/>
    <n v="0"/>
    <n v="0"/>
    <n v="0"/>
    <n v="0"/>
    <n v="0"/>
  </r>
  <r>
    <x v="37"/>
    <d v="2026-09-11T00:00:00"/>
    <d v="2026-09-08T00:00:00"/>
    <s v="CP037"/>
    <s v="GB0002"/>
    <s v="SELL"/>
    <n v="5000"/>
    <n v="102.57"/>
    <s v="GBP"/>
    <x v="4"/>
    <x v="1"/>
    <s v="settle_before_trade"/>
    <n v="19"/>
    <x v="0"/>
    <x v="0"/>
    <n v="0"/>
    <n v="0"/>
    <n v="0"/>
    <n v="1"/>
    <n v="0"/>
    <n v="0"/>
    <n v="0"/>
    <n v="0"/>
    <n v="0"/>
  </r>
  <r>
    <x v="38"/>
    <d v="2026-09-11T00:00:00"/>
    <d v="2026-09-09T00:00:00"/>
    <s v="CP013"/>
    <s v="GB0005"/>
    <s v="BUY"/>
    <n v="7000"/>
    <n v="101.42"/>
    <s v="EUR"/>
    <x v="4"/>
    <x v="1"/>
    <s v="settle_before_trade"/>
    <n v="19"/>
    <x v="0"/>
    <x v="0"/>
    <n v="0"/>
    <n v="0"/>
    <n v="0"/>
    <n v="1"/>
    <n v="0"/>
    <n v="0"/>
    <n v="0"/>
    <n v="0"/>
    <n v="0"/>
  </r>
  <r>
    <x v="39"/>
    <d v="2026-09-11T00:00:00"/>
    <d v="2026-09-12T00:00:00"/>
    <s v="CP032"/>
    <s v="CB0003"/>
    <s v="BUY"/>
    <n v="5000"/>
    <n v="107.2"/>
    <s v="USD"/>
    <x v="2"/>
    <x v="0"/>
    <s v="settle_on_weekend"/>
    <n v="19"/>
    <x v="0"/>
    <x v="0"/>
    <n v="0"/>
    <n v="0"/>
    <n v="0"/>
    <n v="0"/>
    <n v="1"/>
    <n v="0"/>
    <n v="0"/>
    <n v="0"/>
    <n v="0"/>
  </r>
  <r>
    <x v="40"/>
    <d v="2026-09-11T00:00:00"/>
    <d v="2026-09-15T00:00:00"/>
    <s v="CP038"/>
    <s v="CB0003"/>
    <s v="SELL"/>
    <n v="35100"/>
    <n v="102.26"/>
    <s v="USD"/>
    <x v="2"/>
    <x v="0"/>
    <s v="quantity_over_limit"/>
    <n v="19"/>
    <x v="0"/>
    <x v="0"/>
    <n v="0"/>
    <n v="0"/>
    <n v="0"/>
    <n v="0"/>
    <n v="0"/>
    <n v="1"/>
    <n v="0"/>
    <n v="0"/>
    <n v="0"/>
  </r>
  <r>
    <x v="41"/>
    <d v="2026-09-11T00:00:00"/>
    <d v="2026-09-15T00:00:00"/>
    <s v="CP001"/>
    <s v="ET0003"/>
    <s v="BUY"/>
    <n v="76900"/>
    <n v="90.77"/>
    <s v="GBP"/>
    <x v="3"/>
    <x v="1"/>
    <s v="quantity_over_limit"/>
    <n v="19"/>
    <x v="0"/>
    <x v="0"/>
    <n v="0"/>
    <n v="0"/>
    <n v="0"/>
    <n v="0"/>
    <n v="0"/>
    <n v="1"/>
    <n v="0"/>
    <n v="0"/>
    <n v="0"/>
  </r>
  <r>
    <x v="42"/>
    <d v="2026-09-11T00:00:00"/>
    <d v="2026-09-15T00:00:00"/>
    <s v="CP024"/>
    <s v="GB0003"/>
    <s v="BUY"/>
    <n v="53600"/>
    <n v="101.27"/>
    <s v="EUR"/>
    <x v="1"/>
    <x v="0"/>
    <s v="quantity_over_limit"/>
    <n v="19"/>
    <x v="0"/>
    <x v="0"/>
    <n v="0"/>
    <n v="0"/>
    <n v="0"/>
    <n v="0"/>
    <n v="0"/>
    <n v="1"/>
    <n v="0"/>
    <n v="0"/>
    <n v="0"/>
  </r>
  <r>
    <x v="43"/>
    <d v="2026-09-11T00:00:00"/>
    <d v="2026-09-15T00:00:00"/>
    <s v="CP037"/>
    <s v="EQ0012"/>
    <s v="BUY"/>
    <n v="146700"/>
    <n v="63.99"/>
    <s v="GBP"/>
    <x v="0"/>
    <x v="0"/>
    <s v="quantity_over_limit"/>
    <n v="19"/>
    <x v="0"/>
    <x v="0"/>
    <n v="0"/>
    <n v="0"/>
    <n v="0"/>
    <n v="0"/>
    <n v="0"/>
    <n v="1"/>
    <n v="0"/>
    <n v="0"/>
    <n v="0"/>
  </r>
  <r>
    <x v="44"/>
    <d v="2026-09-11T00:00:00"/>
    <d v="2026-09-15T00:00:00"/>
    <s v="CP006"/>
    <s v="EQ0006"/>
    <s v="SELL"/>
    <n v="32400"/>
    <n v="88.07"/>
    <s v="USD"/>
    <x v="2"/>
    <x v="0"/>
    <s v="suspended_counterparty"/>
    <n v="19"/>
    <x v="0"/>
    <x v="0"/>
    <n v="0"/>
    <n v="0"/>
    <n v="0"/>
    <n v="0"/>
    <n v="0"/>
    <n v="0"/>
    <n v="1"/>
    <n v="0"/>
    <n v="0"/>
  </r>
  <r>
    <x v="45"/>
    <d v="2026-09-14T00:00:00"/>
    <d v="2026-09-16T00:00:00"/>
    <s v="CP017"/>
    <s v="GB0004"/>
    <s v="BUY"/>
    <n v="1000"/>
    <n v="100.99"/>
    <s v="GBP"/>
    <x v="2"/>
    <x v="0"/>
    <s v="duplicate_trade_id"/>
    <n v="16"/>
    <x v="0"/>
    <x v="0"/>
    <n v="0"/>
    <n v="0"/>
    <n v="0"/>
    <n v="0"/>
    <n v="0"/>
    <n v="0"/>
    <n v="0"/>
    <n v="0"/>
    <n v="1"/>
  </r>
  <r>
    <x v="46"/>
    <d v="2026-09-14T00:00:00"/>
    <d v="2026-09-16T00:00:00"/>
    <s v="CP023"/>
    <s v="CB0005"/>
    <s v="SELL"/>
    <n v="13000"/>
    <m/>
    <s v="GBP"/>
    <x v="3"/>
    <x v="1"/>
    <s v="missing_field"/>
    <n v="16"/>
    <x v="0"/>
    <x v="0"/>
    <n v="1"/>
    <n v="0"/>
    <n v="0"/>
    <n v="0"/>
    <n v="0"/>
    <n v="0"/>
    <n v="0"/>
    <n v="0"/>
    <n v="0"/>
  </r>
  <r>
    <x v="47"/>
    <d v="2026-09-14T00:00:00"/>
    <d v="2026-09-16T00:00:00"/>
    <m/>
    <s v="CB0003"/>
    <s v="SELL"/>
    <n v="15000"/>
    <n v="105.92"/>
    <s v="USD"/>
    <x v="0"/>
    <x v="1"/>
    <s v="missing_field"/>
    <n v="16"/>
    <x v="0"/>
    <x v="0"/>
    <n v="1"/>
    <n v="0"/>
    <n v="0"/>
    <n v="0"/>
    <n v="0"/>
    <n v="0"/>
    <n v="0"/>
    <n v="0"/>
    <n v="0"/>
  </r>
  <r>
    <x v="48"/>
    <d v="2026-09-14T00:00:00"/>
    <d v="2026-09-16T00:00:00"/>
    <s v="CP138"/>
    <s v="CB0005"/>
    <s v="BUY"/>
    <n v="16000"/>
    <n v="108.2"/>
    <s v="GBP"/>
    <x v="1"/>
    <x v="1"/>
    <s v="unknown_counterparty"/>
    <n v="16"/>
    <x v="0"/>
    <x v="0"/>
    <n v="0"/>
    <n v="1"/>
    <n v="0"/>
    <n v="0"/>
    <n v="0"/>
    <n v="0"/>
    <n v="0"/>
    <n v="0"/>
    <n v="0"/>
  </r>
  <r>
    <x v="49"/>
    <d v="2026-09-14T00:00:00"/>
    <d v="2026-09-16T00:00:00"/>
    <s v="CP115"/>
    <s v="EQ0007"/>
    <s v="BUY"/>
    <n v="37200"/>
    <n v="100.8"/>
    <s v="GBP"/>
    <x v="3"/>
    <x v="0"/>
    <s v="unknown_counterparty"/>
    <n v="16"/>
    <x v="0"/>
    <x v="0"/>
    <n v="0"/>
    <n v="1"/>
    <n v="0"/>
    <n v="0"/>
    <n v="0"/>
    <n v="0"/>
    <n v="0"/>
    <n v="0"/>
    <n v="0"/>
  </r>
  <r>
    <x v="50"/>
    <d v="2026-09-14T00:00:00"/>
    <d v="2026-09-16T00:00:00"/>
    <s v="CP160"/>
    <s v="EQ0004"/>
    <s v="BUY"/>
    <n v="9100"/>
    <n v="42.9"/>
    <s v="GBP"/>
    <x v="3"/>
    <x v="0"/>
    <s v="unknown_counterparty"/>
    <n v="16"/>
    <x v="0"/>
    <x v="0"/>
    <n v="0"/>
    <n v="1"/>
    <n v="0"/>
    <n v="0"/>
    <n v="0"/>
    <n v="0"/>
    <n v="0"/>
    <n v="0"/>
    <n v="0"/>
  </r>
  <r>
    <x v="51"/>
    <d v="2026-09-14T00:00:00"/>
    <d v="2026-09-16T00:00:00"/>
    <s v="CP010"/>
    <s v="GB0063"/>
    <s v="SELL"/>
    <n v="10900"/>
    <n v="74.099999999999994"/>
    <s v="USD"/>
    <x v="4"/>
    <x v="1"/>
    <s v="unknown_product"/>
    <n v="16"/>
    <x v="0"/>
    <x v="0"/>
    <n v="0"/>
    <n v="0"/>
    <n v="1"/>
    <n v="0"/>
    <n v="0"/>
    <n v="0"/>
    <n v="0"/>
    <n v="0"/>
    <n v="0"/>
  </r>
  <r>
    <x v="52"/>
    <d v="2026-09-14T00:00:00"/>
    <d v="2026-09-11T00:00:00"/>
    <s v="CP016"/>
    <s v="EQ0003"/>
    <s v="SELL"/>
    <n v="4600"/>
    <n v="211.16"/>
    <s v="EUR"/>
    <x v="1"/>
    <x v="1"/>
    <s v="settle_before_trade"/>
    <n v="16"/>
    <x v="0"/>
    <x v="0"/>
    <n v="0"/>
    <n v="0"/>
    <n v="0"/>
    <n v="1"/>
    <n v="0"/>
    <n v="0"/>
    <n v="0"/>
    <n v="0"/>
    <n v="0"/>
  </r>
  <r>
    <x v="53"/>
    <d v="2026-09-14T00:00:00"/>
    <d v="2026-09-19T00:00:00"/>
    <s v="CP003"/>
    <s v="CB0006"/>
    <s v="SELL"/>
    <n v="12000"/>
    <n v="103.9"/>
    <s v="USD"/>
    <x v="4"/>
    <x v="1"/>
    <s v="settle_on_weekend"/>
    <n v="16"/>
    <x v="0"/>
    <x v="0"/>
    <n v="0"/>
    <n v="0"/>
    <n v="0"/>
    <n v="0"/>
    <n v="1"/>
    <n v="0"/>
    <n v="0"/>
    <n v="0"/>
    <n v="0"/>
  </r>
  <r>
    <x v="54"/>
    <d v="2026-09-14T00:00:00"/>
    <d v="2026-09-19T00:00:00"/>
    <s v="CP032"/>
    <s v="CB0006"/>
    <s v="SELL"/>
    <n v="8000"/>
    <n v="106.41"/>
    <s v="USD"/>
    <x v="1"/>
    <x v="1"/>
    <s v="settle_on_weekend"/>
    <n v="16"/>
    <x v="0"/>
    <x v="0"/>
    <n v="0"/>
    <n v="0"/>
    <n v="0"/>
    <n v="0"/>
    <n v="1"/>
    <n v="0"/>
    <n v="0"/>
    <n v="0"/>
    <n v="0"/>
  </r>
  <r>
    <x v="55"/>
    <d v="2026-09-14T00:00:00"/>
    <d v="2026-09-16T00:00:00"/>
    <s v="CP005"/>
    <s v="CB0004"/>
    <s v="SELL"/>
    <n v="29600"/>
    <n v="106.46"/>
    <s v="GBP"/>
    <x v="3"/>
    <x v="1"/>
    <s v="quantity_over_limit"/>
    <n v="16"/>
    <x v="0"/>
    <x v="0"/>
    <n v="0"/>
    <n v="0"/>
    <n v="0"/>
    <n v="0"/>
    <n v="0"/>
    <n v="1"/>
    <n v="0"/>
    <n v="0"/>
    <n v="0"/>
  </r>
  <r>
    <x v="56"/>
    <d v="2026-09-14T00:00:00"/>
    <d v="2026-09-16T00:00:00"/>
    <s v="CP009"/>
    <s v="CB0003"/>
    <s v="BUY"/>
    <n v="49000"/>
    <n v="106.42"/>
    <s v="USD"/>
    <x v="4"/>
    <x v="1"/>
    <s v="quantity_over_limit"/>
    <n v="16"/>
    <x v="0"/>
    <x v="0"/>
    <n v="0"/>
    <n v="0"/>
    <n v="0"/>
    <n v="0"/>
    <n v="0"/>
    <n v="1"/>
    <n v="0"/>
    <n v="0"/>
    <n v="0"/>
  </r>
  <r>
    <x v="57"/>
    <d v="2026-09-14T00:00:00"/>
    <d v="2026-09-16T00:00:00"/>
    <s v="CP018"/>
    <s v="GB0001"/>
    <s v="SELL"/>
    <n v="32800"/>
    <n v="103.76"/>
    <s v="EUR"/>
    <x v="2"/>
    <x v="1"/>
    <s v="quantity_over_limit"/>
    <n v="16"/>
    <x v="0"/>
    <x v="0"/>
    <n v="0"/>
    <n v="0"/>
    <n v="0"/>
    <n v="0"/>
    <n v="0"/>
    <n v="1"/>
    <n v="0"/>
    <n v="0"/>
    <n v="0"/>
  </r>
  <r>
    <x v="58"/>
    <d v="2026-09-14T00:00:00"/>
    <d v="2026-09-16T00:00:00"/>
    <s v="CP019"/>
    <s v="CB0004"/>
    <s v="BUY"/>
    <n v="2000"/>
    <n v="102.9"/>
    <s v="GBP"/>
    <x v="2"/>
    <x v="1"/>
    <s v="suspended_counterparty"/>
    <n v="16"/>
    <x v="0"/>
    <x v="0"/>
    <n v="0"/>
    <n v="0"/>
    <n v="0"/>
    <n v="0"/>
    <n v="0"/>
    <n v="0"/>
    <n v="1"/>
    <n v="0"/>
    <n v="0"/>
  </r>
  <r>
    <x v="59"/>
    <d v="2026-09-14T00:00:00"/>
    <d v="2026-09-16T00:00:00"/>
    <s v="CP009"/>
    <s v="GB0001"/>
    <s v="SELL"/>
    <n v="17000"/>
    <n v="101.43"/>
    <s v="GBP"/>
    <x v="4"/>
    <x v="1"/>
    <s v="currency_mismatch"/>
    <n v="16"/>
    <x v="0"/>
    <x v="0"/>
    <n v="0"/>
    <n v="0"/>
    <n v="0"/>
    <n v="0"/>
    <n v="0"/>
    <n v="0"/>
    <n v="0"/>
    <n v="1"/>
    <n v="0"/>
  </r>
  <r>
    <x v="45"/>
    <d v="2026-09-14T00:00:00"/>
    <d v="2026-09-16T00:00:00"/>
    <s v="CP017"/>
    <s v="GB0004"/>
    <s v="BUY"/>
    <n v="1000"/>
    <n v="100.99"/>
    <s v="GBP"/>
    <x v="2"/>
    <x v="0"/>
    <s v="duplicate_trade_id"/>
    <n v="16"/>
    <x v="0"/>
    <x v="0"/>
    <n v="0"/>
    <n v="0"/>
    <n v="0"/>
    <n v="0"/>
    <n v="0"/>
    <n v="0"/>
    <n v="0"/>
    <n v="0"/>
    <n v="1"/>
  </r>
  <r>
    <x v="60"/>
    <d v="2026-09-15T00:00:00"/>
    <d v="2026-09-17T00:00:00"/>
    <s v="CP026"/>
    <s v="CB0007"/>
    <s v="SELL"/>
    <m/>
    <n v="97.08"/>
    <s v="GBP"/>
    <x v="4"/>
    <x v="1"/>
    <s v="missing_field"/>
    <n v="15"/>
    <x v="0"/>
    <x v="0"/>
    <n v="1"/>
    <n v="0"/>
    <n v="0"/>
    <n v="0"/>
    <n v="0"/>
    <n v="0"/>
    <n v="0"/>
    <n v="0"/>
    <n v="0"/>
  </r>
  <r>
    <x v="61"/>
    <d v="2026-09-15T00:00:00"/>
    <d v="2026-09-17T00:00:00"/>
    <m/>
    <s v="EQ0003"/>
    <s v="BUY"/>
    <n v="18000"/>
    <n v="205.68"/>
    <s v="EUR"/>
    <x v="3"/>
    <x v="1"/>
    <s v="missing_field"/>
    <n v="15"/>
    <x v="0"/>
    <x v="0"/>
    <n v="1"/>
    <n v="0"/>
    <n v="0"/>
    <n v="0"/>
    <n v="0"/>
    <n v="0"/>
    <n v="0"/>
    <n v="0"/>
    <n v="0"/>
  </r>
  <r>
    <x v="62"/>
    <d v="2026-09-15T00:00:00"/>
    <d v="2026-09-17T00:00:00"/>
    <s v="CP010"/>
    <s v="EQ0001"/>
    <s v="BUY"/>
    <m/>
    <n v="174.76"/>
    <s v="USD"/>
    <x v="2"/>
    <x v="1"/>
    <s v="missing_field"/>
    <n v="15"/>
    <x v="0"/>
    <x v="0"/>
    <n v="1"/>
    <n v="0"/>
    <n v="0"/>
    <n v="0"/>
    <n v="0"/>
    <n v="0"/>
    <n v="0"/>
    <n v="0"/>
    <n v="0"/>
  </r>
  <r>
    <x v="63"/>
    <d v="2026-09-15T00:00:00"/>
    <m/>
    <s v="CP018"/>
    <s v="CB0007"/>
    <s v="BUY"/>
    <n v="7000"/>
    <n v="93.71"/>
    <s v="GBP"/>
    <x v="0"/>
    <x v="0"/>
    <s v="missing_field"/>
    <n v="15"/>
    <x v="0"/>
    <x v="0"/>
    <n v="1"/>
    <n v="0"/>
    <n v="0"/>
    <n v="0"/>
    <n v="0"/>
    <n v="0"/>
    <n v="0"/>
    <n v="0"/>
    <n v="0"/>
  </r>
  <r>
    <x v="64"/>
    <d v="2026-09-15T00:00:00"/>
    <d v="2026-09-17T00:00:00"/>
    <s v="CP108"/>
    <s v="CB0004"/>
    <s v="SELL"/>
    <n v="5000"/>
    <n v="103.6"/>
    <s v="GBP"/>
    <x v="0"/>
    <x v="1"/>
    <s v="unknown_counterparty"/>
    <n v="15"/>
    <x v="0"/>
    <x v="0"/>
    <n v="0"/>
    <n v="1"/>
    <n v="0"/>
    <n v="0"/>
    <n v="0"/>
    <n v="0"/>
    <n v="0"/>
    <n v="0"/>
    <n v="0"/>
  </r>
  <r>
    <x v="65"/>
    <d v="2026-09-15T00:00:00"/>
    <d v="2026-09-17T00:00:00"/>
    <s v="CP151"/>
    <s v="EQ0004"/>
    <s v="SELL"/>
    <n v="2000"/>
    <n v="41.74"/>
    <s v="GBP"/>
    <x v="2"/>
    <x v="1"/>
    <s v="unknown_counterparty"/>
    <n v="15"/>
    <x v="0"/>
    <x v="0"/>
    <n v="0"/>
    <n v="1"/>
    <n v="0"/>
    <n v="0"/>
    <n v="0"/>
    <n v="0"/>
    <n v="0"/>
    <n v="0"/>
    <n v="0"/>
  </r>
  <r>
    <x v="66"/>
    <d v="2026-09-15T00:00:00"/>
    <d v="2026-09-17T00:00:00"/>
    <s v="CP115"/>
    <s v="CB0006"/>
    <s v="BUY"/>
    <n v="1000"/>
    <n v="105.93"/>
    <s v="USD"/>
    <x v="1"/>
    <x v="1"/>
    <s v="unknown_counterparty"/>
    <n v="15"/>
    <x v="0"/>
    <x v="0"/>
    <n v="0"/>
    <n v="1"/>
    <n v="0"/>
    <n v="0"/>
    <n v="0"/>
    <n v="0"/>
    <n v="0"/>
    <n v="0"/>
    <n v="0"/>
  </r>
  <r>
    <x v="67"/>
    <d v="2026-09-15T00:00:00"/>
    <d v="2026-09-19T00:00:00"/>
    <s v="CP016"/>
    <s v="EQ0001"/>
    <s v="BUY"/>
    <n v="32000"/>
    <n v="176.13"/>
    <s v="USD"/>
    <x v="3"/>
    <x v="1"/>
    <s v="settle_on_weekend"/>
    <n v="15"/>
    <x v="0"/>
    <x v="0"/>
    <n v="0"/>
    <n v="0"/>
    <n v="0"/>
    <n v="0"/>
    <n v="1"/>
    <n v="0"/>
    <n v="0"/>
    <n v="0"/>
    <n v="0"/>
  </r>
  <r>
    <x v="68"/>
    <d v="2026-09-15T00:00:00"/>
    <d v="2026-09-17T00:00:00"/>
    <s v="CP006"/>
    <s v="EQ0003"/>
    <s v="BUY"/>
    <n v="16500"/>
    <n v="214.41"/>
    <s v="EUR"/>
    <x v="4"/>
    <x v="1"/>
    <s v="suspended_counterparty"/>
    <n v="15"/>
    <x v="0"/>
    <x v="0"/>
    <n v="0"/>
    <n v="0"/>
    <n v="0"/>
    <n v="0"/>
    <n v="0"/>
    <n v="0"/>
    <n v="1"/>
    <n v="0"/>
    <n v="0"/>
  </r>
  <r>
    <x v="69"/>
    <d v="2026-09-16T00:00:00"/>
    <d v="2026-09-18T00:00:00"/>
    <s v="CP010"/>
    <s v="GB0005"/>
    <s v="SELL"/>
    <n v="1000"/>
    <n v="104.36"/>
    <s v="EUR"/>
    <x v="1"/>
    <x v="0"/>
    <s v="duplicate_trade_id"/>
    <n v="14"/>
    <x v="0"/>
    <x v="0"/>
    <n v="0"/>
    <n v="0"/>
    <n v="0"/>
    <n v="0"/>
    <n v="0"/>
    <n v="0"/>
    <n v="0"/>
    <n v="0"/>
    <n v="1"/>
  </r>
  <r>
    <x v="70"/>
    <d v="2026-09-16T00:00:00"/>
    <d v="2026-09-18T00:00:00"/>
    <s v="CP012"/>
    <s v="CB0060"/>
    <s v="SELL"/>
    <n v="18400"/>
    <n v="120.99"/>
    <s v="EUR"/>
    <x v="0"/>
    <x v="0"/>
    <s v="unknown_product"/>
    <n v="14"/>
    <x v="0"/>
    <x v="0"/>
    <n v="0"/>
    <n v="0"/>
    <n v="1"/>
    <n v="0"/>
    <n v="0"/>
    <n v="0"/>
    <n v="0"/>
    <n v="0"/>
    <n v="0"/>
  </r>
  <r>
    <x v="71"/>
    <d v="2026-09-16T00:00:00"/>
    <d v="2026-09-18T00:00:00"/>
    <s v="CP026"/>
    <s v="GB0075"/>
    <s v="SELL"/>
    <n v="4000"/>
    <n v="104.43"/>
    <s v="GBP"/>
    <x v="3"/>
    <x v="1"/>
    <s v="unknown_product"/>
    <n v="14"/>
    <x v="0"/>
    <x v="0"/>
    <n v="0"/>
    <n v="0"/>
    <n v="1"/>
    <n v="0"/>
    <n v="0"/>
    <n v="0"/>
    <n v="0"/>
    <n v="0"/>
    <n v="0"/>
  </r>
  <r>
    <x v="72"/>
    <d v="2026-09-16T00:00:00"/>
    <d v="2026-09-18T00:00:00"/>
    <s v="CP040"/>
    <s v="GB0062"/>
    <s v="SELL"/>
    <n v="10000"/>
    <n v="169.33"/>
    <s v="USD"/>
    <x v="0"/>
    <x v="1"/>
    <s v="unknown_product"/>
    <n v="14"/>
    <x v="0"/>
    <x v="0"/>
    <n v="0"/>
    <n v="0"/>
    <n v="1"/>
    <n v="0"/>
    <n v="0"/>
    <n v="0"/>
    <n v="0"/>
    <n v="0"/>
    <n v="0"/>
  </r>
  <r>
    <x v="73"/>
    <d v="2026-09-16T00:00:00"/>
    <d v="2026-09-14T00:00:00"/>
    <s v="CP029"/>
    <s v="GB0007"/>
    <s v="SELL"/>
    <n v="2000"/>
    <n v="105.68"/>
    <s v="USD"/>
    <x v="2"/>
    <x v="1"/>
    <s v="settle_before_trade"/>
    <n v="14"/>
    <x v="0"/>
    <x v="0"/>
    <n v="0"/>
    <n v="0"/>
    <n v="0"/>
    <n v="1"/>
    <n v="0"/>
    <n v="0"/>
    <n v="0"/>
    <n v="0"/>
    <n v="0"/>
  </r>
  <r>
    <x v="74"/>
    <d v="2026-09-16T00:00:00"/>
    <d v="2026-09-15T00:00:00"/>
    <s v="CP008"/>
    <s v="EQ0007"/>
    <s v="BUY"/>
    <n v="16200"/>
    <n v="96.54"/>
    <s v="GBP"/>
    <x v="0"/>
    <x v="0"/>
    <s v="settle_before_trade"/>
    <n v="14"/>
    <x v="0"/>
    <x v="0"/>
    <n v="0"/>
    <n v="0"/>
    <n v="0"/>
    <n v="1"/>
    <n v="0"/>
    <n v="0"/>
    <n v="0"/>
    <n v="0"/>
    <n v="0"/>
  </r>
  <r>
    <x v="75"/>
    <d v="2026-09-16T00:00:00"/>
    <d v="2026-09-19T00:00:00"/>
    <s v="CP011"/>
    <s v="EQ0005"/>
    <s v="SELL"/>
    <n v="39200"/>
    <n v="190.15"/>
    <s v="USD"/>
    <x v="0"/>
    <x v="1"/>
    <s v="settle_on_weekend"/>
    <n v="14"/>
    <x v="0"/>
    <x v="0"/>
    <n v="0"/>
    <n v="0"/>
    <n v="0"/>
    <n v="0"/>
    <n v="1"/>
    <n v="0"/>
    <n v="0"/>
    <n v="0"/>
    <n v="0"/>
  </r>
  <r>
    <x v="76"/>
    <d v="2026-09-16T00:00:00"/>
    <d v="2026-09-18T00:00:00"/>
    <s v="CP033"/>
    <s v="EQ0007"/>
    <s v="SELL"/>
    <n v="32600"/>
    <n v="97.36"/>
    <s v="GBP"/>
    <x v="2"/>
    <x v="1"/>
    <s v="suspended_counterparty"/>
    <n v="14"/>
    <x v="0"/>
    <x v="0"/>
    <n v="0"/>
    <n v="0"/>
    <n v="0"/>
    <n v="0"/>
    <n v="0"/>
    <n v="0"/>
    <n v="1"/>
    <n v="0"/>
    <n v="0"/>
  </r>
  <r>
    <x v="77"/>
    <d v="2026-09-16T00:00:00"/>
    <d v="2026-09-18T00:00:00"/>
    <s v="CP010"/>
    <s v="ET0004"/>
    <s v="SELL"/>
    <n v="12800"/>
    <n v="101.35"/>
    <s v="EUR"/>
    <x v="2"/>
    <x v="1"/>
    <s v="currency_mismatch"/>
    <n v="14"/>
    <x v="0"/>
    <x v="0"/>
    <n v="0"/>
    <n v="0"/>
    <n v="0"/>
    <n v="0"/>
    <n v="0"/>
    <n v="0"/>
    <n v="0"/>
    <n v="1"/>
    <n v="0"/>
  </r>
  <r>
    <x v="78"/>
    <d v="2026-09-16T00:00:00"/>
    <d v="2026-09-18T00:00:00"/>
    <s v="CP003"/>
    <s v="EQ0012"/>
    <s v="SELL"/>
    <n v="8700"/>
    <n v="65.09"/>
    <s v="USD"/>
    <x v="0"/>
    <x v="1"/>
    <s v="currency_mismatch"/>
    <n v="14"/>
    <x v="0"/>
    <x v="0"/>
    <n v="0"/>
    <n v="0"/>
    <n v="0"/>
    <n v="0"/>
    <n v="0"/>
    <n v="0"/>
    <n v="0"/>
    <n v="1"/>
    <n v="0"/>
  </r>
  <r>
    <x v="69"/>
    <d v="2026-09-16T00:00:00"/>
    <d v="2026-09-18T00:00:00"/>
    <s v="CP010"/>
    <s v="GB0005"/>
    <s v="SELL"/>
    <n v="1000"/>
    <n v="104.36"/>
    <s v="EUR"/>
    <x v="1"/>
    <x v="0"/>
    <s v="duplicate_trade_id"/>
    <n v="14"/>
    <x v="0"/>
    <x v="0"/>
    <n v="0"/>
    <n v="0"/>
    <n v="0"/>
    <n v="0"/>
    <n v="0"/>
    <n v="0"/>
    <n v="0"/>
    <n v="0"/>
    <n v="1"/>
  </r>
  <r>
    <x v="79"/>
    <d v="2026-09-17T00:00:00"/>
    <d v="2026-09-21T00:00:00"/>
    <s v="CP009"/>
    <s v="CB0004"/>
    <s v="BUY"/>
    <n v="5000"/>
    <n v="104.32"/>
    <s v="GBP"/>
    <x v="4"/>
    <x v="0"/>
    <s v="duplicate_trade_id"/>
    <n v="13"/>
    <x v="0"/>
    <x v="0"/>
    <n v="0"/>
    <n v="0"/>
    <n v="0"/>
    <n v="0"/>
    <n v="0"/>
    <n v="0"/>
    <n v="0"/>
    <n v="0"/>
    <n v="1"/>
  </r>
  <r>
    <x v="80"/>
    <d v="2026-09-17T00:00:00"/>
    <d v="2026-09-21T00:00:00"/>
    <m/>
    <s v="EQ0007"/>
    <s v="BUY"/>
    <n v="100"/>
    <n v="96.91"/>
    <s v="GBP"/>
    <x v="1"/>
    <x v="1"/>
    <s v="missing_field"/>
    <n v="13"/>
    <x v="0"/>
    <x v="0"/>
    <n v="1"/>
    <n v="0"/>
    <n v="0"/>
    <n v="0"/>
    <n v="0"/>
    <n v="0"/>
    <n v="0"/>
    <n v="0"/>
    <n v="0"/>
  </r>
  <r>
    <x v="81"/>
    <d v="2026-09-17T00:00:00"/>
    <d v="2026-09-21T00:00:00"/>
    <s v="CP023"/>
    <s v="EQ0012"/>
    <s v="BUY"/>
    <n v="14400"/>
    <m/>
    <s v="GBP"/>
    <x v="2"/>
    <x v="0"/>
    <s v="missing_field"/>
    <n v="13"/>
    <x v="0"/>
    <x v="0"/>
    <n v="1"/>
    <n v="0"/>
    <n v="0"/>
    <n v="0"/>
    <n v="0"/>
    <n v="0"/>
    <n v="0"/>
    <n v="0"/>
    <n v="0"/>
  </r>
  <r>
    <x v="82"/>
    <d v="2026-09-17T00:00:00"/>
    <d v="2026-09-21T00:00:00"/>
    <s v="CP023"/>
    <s v="CB0008"/>
    <s v="BUY"/>
    <n v="16000"/>
    <m/>
    <s v="USD"/>
    <x v="1"/>
    <x v="0"/>
    <s v="missing_field"/>
    <n v="13"/>
    <x v="0"/>
    <x v="0"/>
    <n v="1"/>
    <n v="0"/>
    <n v="0"/>
    <n v="0"/>
    <n v="0"/>
    <n v="0"/>
    <n v="0"/>
    <n v="0"/>
    <n v="0"/>
  </r>
  <r>
    <x v="83"/>
    <d v="2026-09-17T00:00:00"/>
    <d v="2026-09-21T00:00:00"/>
    <s v="CP141"/>
    <s v="ET0004"/>
    <s v="SELL"/>
    <n v="900"/>
    <n v="98.42"/>
    <s v="USD"/>
    <x v="0"/>
    <x v="1"/>
    <s v="unknown_counterparty"/>
    <n v="13"/>
    <x v="0"/>
    <x v="0"/>
    <n v="0"/>
    <n v="1"/>
    <n v="0"/>
    <n v="0"/>
    <n v="0"/>
    <n v="0"/>
    <n v="0"/>
    <n v="0"/>
    <n v="0"/>
  </r>
  <r>
    <x v="84"/>
    <d v="2026-09-17T00:00:00"/>
    <d v="2026-09-21T00:00:00"/>
    <s v="CP071"/>
    <s v="GB0006"/>
    <s v="SELL"/>
    <n v="18000"/>
    <n v="100.5"/>
    <s v="USD"/>
    <x v="0"/>
    <x v="1"/>
    <s v="unknown_counterparty"/>
    <n v="13"/>
    <x v="0"/>
    <x v="0"/>
    <n v="0"/>
    <n v="1"/>
    <n v="0"/>
    <n v="0"/>
    <n v="0"/>
    <n v="0"/>
    <n v="0"/>
    <n v="0"/>
    <n v="0"/>
  </r>
  <r>
    <x v="85"/>
    <d v="2026-09-17T00:00:00"/>
    <d v="2026-09-21T00:00:00"/>
    <s v="CP114"/>
    <s v="CB0004"/>
    <s v="SELL"/>
    <n v="10000"/>
    <n v="102.82"/>
    <s v="GBP"/>
    <x v="4"/>
    <x v="1"/>
    <s v="unknown_counterparty"/>
    <n v="13"/>
    <x v="0"/>
    <x v="0"/>
    <n v="0"/>
    <n v="1"/>
    <n v="0"/>
    <n v="0"/>
    <n v="0"/>
    <n v="0"/>
    <n v="0"/>
    <n v="0"/>
    <n v="0"/>
  </r>
  <r>
    <x v="86"/>
    <d v="2026-09-17T00:00:00"/>
    <d v="2026-09-21T00:00:00"/>
    <s v="CP031"/>
    <s v="CB0072"/>
    <s v="SELL"/>
    <n v="11000"/>
    <n v="105.32"/>
    <s v="USD"/>
    <x v="2"/>
    <x v="1"/>
    <s v="unknown_product"/>
    <n v="13"/>
    <x v="0"/>
    <x v="0"/>
    <n v="0"/>
    <n v="0"/>
    <n v="1"/>
    <n v="0"/>
    <n v="0"/>
    <n v="0"/>
    <n v="0"/>
    <n v="0"/>
    <n v="0"/>
  </r>
  <r>
    <x v="87"/>
    <d v="2026-09-17T00:00:00"/>
    <d v="2026-09-21T00:00:00"/>
    <s v="CP032"/>
    <s v="CB0059"/>
    <s v="BUY"/>
    <n v="10000"/>
    <n v="105.61"/>
    <s v="EUR"/>
    <x v="4"/>
    <x v="1"/>
    <s v="unknown_product"/>
    <n v="13"/>
    <x v="0"/>
    <x v="0"/>
    <n v="0"/>
    <n v="0"/>
    <n v="1"/>
    <n v="0"/>
    <n v="0"/>
    <n v="0"/>
    <n v="0"/>
    <n v="0"/>
    <n v="0"/>
  </r>
  <r>
    <x v="88"/>
    <d v="2026-09-17T00:00:00"/>
    <d v="2026-09-15T00:00:00"/>
    <s v="CP022"/>
    <s v="ET0003"/>
    <s v="BUY"/>
    <n v="16500"/>
    <n v="94.49"/>
    <s v="GBP"/>
    <x v="1"/>
    <x v="0"/>
    <s v="settle_before_trade"/>
    <n v="13"/>
    <x v="0"/>
    <x v="0"/>
    <n v="0"/>
    <n v="0"/>
    <n v="0"/>
    <n v="1"/>
    <n v="0"/>
    <n v="0"/>
    <n v="0"/>
    <n v="0"/>
    <n v="0"/>
  </r>
  <r>
    <x v="89"/>
    <d v="2026-09-17T00:00:00"/>
    <d v="2026-09-19T00:00:00"/>
    <s v="CP002"/>
    <s v="ET0003"/>
    <s v="BUY"/>
    <n v="17100"/>
    <n v="94.54"/>
    <s v="GBP"/>
    <x v="3"/>
    <x v="1"/>
    <s v="settle_on_weekend"/>
    <n v="13"/>
    <x v="0"/>
    <x v="0"/>
    <n v="0"/>
    <n v="0"/>
    <n v="0"/>
    <n v="0"/>
    <n v="1"/>
    <n v="0"/>
    <n v="0"/>
    <n v="0"/>
    <n v="0"/>
  </r>
  <r>
    <x v="90"/>
    <d v="2026-09-17T00:00:00"/>
    <d v="2026-09-19T00:00:00"/>
    <s v="CP034"/>
    <s v="CB0003"/>
    <s v="SELL"/>
    <n v="16000"/>
    <n v="103.25"/>
    <s v="USD"/>
    <x v="1"/>
    <x v="1"/>
    <s v="settle_on_weekend"/>
    <n v="13"/>
    <x v="0"/>
    <x v="0"/>
    <n v="0"/>
    <n v="0"/>
    <n v="0"/>
    <n v="0"/>
    <n v="1"/>
    <n v="0"/>
    <n v="0"/>
    <n v="0"/>
    <n v="0"/>
  </r>
  <r>
    <x v="91"/>
    <d v="2026-09-17T00:00:00"/>
    <d v="2026-09-21T00:00:00"/>
    <s v="CP036"/>
    <s v="EQ0002"/>
    <s v="SELL"/>
    <n v="82600"/>
    <n v="117"/>
    <s v="EUR"/>
    <x v="0"/>
    <x v="1"/>
    <s v="quantity_over_limit"/>
    <n v="13"/>
    <x v="0"/>
    <x v="0"/>
    <n v="0"/>
    <n v="0"/>
    <n v="0"/>
    <n v="0"/>
    <n v="0"/>
    <n v="1"/>
    <n v="0"/>
    <n v="0"/>
    <n v="0"/>
  </r>
  <r>
    <x v="92"/>
    <d v="2026-09-17T00:00:00"/>
    <d v="2026-09-21T00:00:00"/>
    <s v="CP004"/>
    <s v="CB0003"/>
    <s v="SELL"/>
    <n v="16000"/>
    <n v="102.42"/>
    <s v="EUR"/>
    <x v="0"/>
    <x v="1"/>
    <s v="currency_mismatch"/>
    <n v="13"/>
    <x v="0"/>
    <x v="0"/>
    <n v="0"/>
    <n v="0"/>
    <n v="0"/>
    <n v="0"/>
    <n v="0"/>
    <n v="0"/>
    <n v="0"/>
    <n v="1"/>
    <n v="0"/>
  </r>
  <r>
    <x v="93"/>
    <d v="2026-09-17T00:00:00"/>
    <d v="2026-09-21T00:00:00"/>
    <s v="CP008"/>
    <s v="CB0004"/>
    <s v="BUY"/>
    <n v="12000"/>
    <n v="104.33"/>
    <s v="USD"/>
    <x v="2"/>
    <x v="1"/>
    <s v="currency_mismatch"/>
    <n v="13"/>
    <x v="0"/>
    <x v="0"/>
    <n v="0"/>
    <n v="0"/>
    <n v="0"/>
    <n v="0"/>
    <n v="0"/>
    <n v="0"/>
    <n v="0"/>
    <n v="1"/>
    <n v="0"/>
  </r>
  <r>
    <x v="79"/>
    <d v="2026-09-17T00:00:00"/>
    <d v="2026-09-21T00:00:00"/>
    <s v="CP009"/>
    <s v="CB0004"/>
    <s v="BUY"/>
    <n v="5000"/>
    <n v="104.32"/>
    <s v="GBP"/>
    <x v="4"/>
    <x v="0"/>
    <s v="duplicate_trade_id"/>
    <n v="13"/>
    <x v="0"/>
    <x v="0"/>
    <n v="0"/>
    <n v="0"/>
    <n v="0"/>
    <n v="0"/>
    <n v="0"/>
    <n v="0"/>
    <n v="0"/>
    <n v="0"/>
    <n v="1"/>
  </r>
  <r>
    <x v="94"/>
    <d v="2026-09-18T00:00:00"/>
    <d v="2026-09-22T00:00:00"/>
    <s v="CP026"/>
    <s v="GB0007"/>
    <s v="SELL"/>
    <n v="4000"/>
    <n v="108.62"/>
    <s v="USD"/>
    <x v="0"/>
    <x v="0"/>
    <s v="duplicate_trade_id"/>
    <n v="12"/>
    <x v="0"/>
    <x v="0"/>
    <n v="0"/>
    <n v="0"/>
    <n v="0"/>
    <n v="0"/>
    <n v="0"/>
    <n v="0"/>
    <n v="0"/>
    <n v="0"/>
    <n v="1"/>
  </r>
  <r>
    <x v="95"/>
    <d v="2026-09-18T00:00:00"/>
    <d v="2026-09-22T00:00:00"/>
    <s v="CP186"/>
    <s v="EQ0005"/>
    <s v="BUY"/>
    <n v="2800"/>
    <n v="192.16"/>
    <s v="USD"/>
    <x v="3"/>
    <x v="0"/>
    <s v="unknown_counterparty"/>
    <n v="12"/>
    <x v="0"/>
    <x v="0"/>
    <n v="0"/>
    <n v="1"/>
    <n v="0"/>
    <n v="0"/>
    <n v="0"/>
    <n v="0"/>
    <n v="0"/>
    <n v="0"/>
    <n v="0"/>
  </r>
  <r>
    <x v="96"/>
    <d v="2026-09-18T00:00:00"/>
    <d v="2026-09-22T00:00:00"/>
    <s v="CP015"/>
    <s v="ET0072"/>
    <s v="SELL"/>
    <n v="35600"/>
    <n v="96.34"/>
    <s v="USD"/>
    <x v="2"/>
    <x v="1"/>
    <s v="unknown_product"/>
    <n v="12"/>
    <x v="0"/>
    <x v="0"/>
    <n v="0"/>
    <n v="0"/>
    <n v="1"/>
    <n v="0"/>
    <n v="0"/>
    <n v="0"/>
    <n v="0"/>
    <n v="0"/>
    <n v="0"/>
  </r>
  <r>
    <x v="97"/>
    <d v="2026-09-18T00:00:00"/>
    <d v="2026-09-16T00:00:00"/>
    <s v="CP015"/>
    <s v="CB0008"/>
    <s v="SELL"/>
    <n v="3000"/>
    <n v="109.48"/>
    <s v="USD"/>
    <x v="4"/>
    <x v="1"/>
    <s v="settle_before_trade"/>
    <n v="12"/>
    <x v="0"/>
    <x v="0"/>
    <n v="0"/>
    <n v="0"/>
    <n v="0"/>
    <n v="1"/>
    <n v="0"/>
    <n v="0"/>
    <n v="0"/>
    <n v="0"/>
    <n v="0"/>
  </r>
  <r>
    <x v="98"/>
    <d v="2026-09-18T00:00:00"/>
    <d v="2026-09-19T00:00:00"/>
    <s v="CP022"/>
    <s v="GB0004"/>
    <s v="BUY"/>
    <n v="6000"/>
    <n v="106.16"/>
    <s v="GBP"/>
    <x v="2"/>
    <x v="1"/>
    <s v="settle_on_weekend"/>
    <n v="12"/>
    <x v="0"/>
    <x v="0"/>
    <n v="0"/>
    <n v="0"/>
    <n v="0"/>
    <n v="0"/>
    <n v="1"/>
    <n v="0"/>
    <n v="0"/>
    <n v="0"/>
    <n v="0"/>
  </r>
  <r>
    <x v="99"/>
    <d v="2026-09-18T00:00:00"/>
    <d v="2026-09-22T00:00:00"/>
    <s v="CP013"/>
    <s v="EQ0001"/>
    <s v="BUY"/>
    <n v="125000"/>
    <n v="170.88"/>
    <s v="USD"/>
    <x v="4"/>
    <x v="0"/>
    <s v="quantity_over_limit"/>
    <n v="12"/>
    <x v="0"/>
    <x v="0"/>
    <n v="0"/>
    <n v="0"/>
    <n v="0"/>
    <n v="0"/>
    <n v="0"/>
    <n v="1"/>
    <n v="0"/>
    <n v="0"/>
    <n v="0"/>
  </r>
  <r>
    <x v="100"/>
    <d v="2026-09-18T00:00:00"/>
    <d v="2026-09-22T00:00:00"/>
    <s v="CP006"/>
    <s v="EQ0006"/>
    <s v="SELL"/>
    <n v="14800"/>
    <n v="92.01"/>
    <s v="USD"/>
    <x v="1"/>
    <x v="1"/>
    <s v="suspended_counterparty"/>
    <n v="12"/>
    <x v="0"/>
    <x v="0"/>
    <n v="0"/>
    <n v="0"/>
    <n v="0"/>
    <n v="0"/>
    <n v="0"/>
    <n v="0"/>
    <n v="1"/>
    <n v="0"/>
    <n v="0"/>
  </r>
  <r>
    <x v="101"/>
    <d v="2026-09-18T00:00:00"/>
    <d v="2026-09-22T00:00:00"/>
    <s v="CP011"/>
    <s v="CB0002"/>
    <s v="BUY"/>
    <n v="6000"/>
    <n v="95.93"/>
    <s v="GBP"/>
    <x v="1"/>
    <x v="0"/>
    <s v="currency_mismatch"/>
    <n v="12"/>
    <x v="0"/>
    <x v="0"/>
    <n v="0"/>
    <n v="0"/>
    <n v="0"/>
    <n v="0"/>
    <n v="0"/>
    <n v="0"/>
    <n v="0"/>
    <n v="1"/>
    <n v="0"/>
  </r>
  <r>
    <x v="94"/>
    <d v="2026-09-18T00:00:00"/>
    <d v="2026-09-22T00:00:00"/>
    <s v="CP026"/>
    <s v="GB0007"/>
    <s v="SELL"/>
    <n v="4000"/>
    <n v="108.62"/>
    <s v="USD"/>
    <x v="0"/>
    <x v="0"/>
    <s v="duplicate_trade_id"/>
    <n v="12"/>
    <x v="0"/>
    <x v="0"/>
    <n v="0"/>
    <n v="0"/>
    <n v="0"/>
    <n v="0"/>
    <n v="0"/>
    <n v="0"/>
    <n v="0"/>
    <n v="0"/>
    <n v="1"/>
  </r>
  <r>
    <x v="102"/>
    <d v="2026-09-21T00:00:00"/>
    <d v="2026-09-23T00:00:00"/>
    <s v="CP038"/>
    <s v="GB0002"/>
    <s v="BUY"/>
    <n v="4000"/>
    <n v="103.01"/>
    <s v="GBP"/>
    <x v="1"/>
    <x v="1"/>
    <s v="duplicate_trade_id"/>
    <n v="9"/>
    <x v="1"/>
    <x v="1"/>
    <n v="0"/>
    <n v="0"/>
    <n v="0"/>
    <n v="0"/>
    <n v="0"/>
    <n v="0"/>
    <n v="0"/>
    <n v="0"/>
    <n v="1"/>
  </r>
  <r>
    <x v="103"/>
    <d v="2026-09-21T00:00:00"/>
    <d v="2026-09-23T00:00:00"/>
    <s v="CP035"/>
    <s v="ET0002"/>
    <s v="SELL"/>
    <n v="29600"/>
    <n v="147.24"/>
    <s v="GBP"/>
    <x v="4"/>
    <x v="0"/>
    <s v="duplicate_trade_id"/>
    <n v="9"/>
    <x v="1"/>
    <x v="1"/>
    <n v="0"/>
    <n v="0"/>
    <n v="0"/>
    <n v="0"/>
    <n v="0"/>
    <n v="0"/>
    <n v="0"/>
    <n v="0"/>
    <n v="1"/>
  </r>
  <r>
    <x v="104"/>
    <d v="2026-09-21T00:00:00"/>
    <d v="2026-09-23T00:00:00"/>
    <s v="CP022"/>
    <s v="EQ0001"/>
    <s v="BUY"/>
    <n v="37900"/>
    <n v="177.36"/>
    <s v="USD"/>
    <x v="1"/>
    <x v="0"/>
    <s v="duplicate_trade_id"/>
    <n v="9"/>
    <x v="1"/>
    <x v="1"/>
    <n v="0"/>
    <n v="0"/>
    <n v="0"/>
    <n v="0"/>
    <n v="0"/>
    <n v="0"/>
    <n v="0"/>
    <n v="0"/>
    <n v="1"/>
  </r>
  <r>
    <x v="105"/>
    <d v="2026-09-21T00:00:00"/>
    <d v="2026-09-23T00:00:00"/>
    <s v="CP012"/>
    <s v="EQ0003"/>
    <s v="BUY"/>
    <n v="30200"/>
    <m/>
    <s v="EUR"/>
    <x v="4"/>
    <x v="1"/>
    <s v="missing_field"/>
    <n v="9"/>
    <x v="1"/>
    <x v="1"/>
    <n v="1"/>
    <n v="0"/>
    <n v="0"/>
    <n v="0"/>
    <n v="0"/>
    <n v="0"/>
    <n v="0"/>
    <n v="0"/>
    <n v="0"/>
  </r>
  <r>
    <x v="106"/>
    <d v="2026-09-21T00:00:00"/>
    <d v="2026-09-23T00:00:00"/>
    <s v="CP003"/>
    <s v="GB0005"/>
    <s v="BUY"/>
    <m/>
    <n v="106.2"/>
    <s v="EUR"/>
    <x v="0"/>
    <x v="0"/>
    <s v="missing_field"/>
    <n v="9"/>
    <x v="1"/>
    <x v="1"/>
    <n v="1"/>
    <n v="0"/>
    <n v="0"/>
    <n v="0"/>
    <n v="0"/>
    <n v="0"/>
    <n v="0"/>
    <n v="0"/>
    <n v="0"/>
  </r>
  <r>
    <x v="107"/>
    <d v="2026-09-21T00:00:00"/>
    <d v="2026-09-23T00:00:00"/>
    <s v="CP015"/>
    <s v="CB0067"/>
    <s v="BUY"/>
    <n v="3000"/>
    <n v="107.36"/>
    <s v="EUR"/>
    <x v="3"/>
    <x v="1"/>
    <s v="unknown_product"/>
    <n v="9"/>
    <x v="1"/>
    <x v="1"/>
    <n v="0"/>
    <n v="0"/>
    <n v="1"/>
    <n v="0"/>
    <n v="0"/>
    <n v="0"/>
    <n v="0"/>
    <n v="0"/>
    <n v="0"/>
  </r>
  <r>
    <x v="108"/>
    <d v="2026-09-21T00:00:00"/>
    <d v="2026-09-23T00:00:00"/>
    <s v="CP024"/>
    <s v="ET0079"/>
    <s v="BUY"/>
    <n v="26900"/>
    <n v="143.32"/>
    <s v="GBP"/>
    <x v="2"/>
    <x v="1"/>
    <s v="unknown_product"/>
    <n v="9"/>
    <x v="1"/>
    <x v="1"/>
    <n v="0"/>
    <n v="0"/>
    <n v="1"/>
    <n v="0"/>
    <n v="0"/>
    <n v="0"/>
    <n v="0"/>
    <n v="0"/>
    <n v="0"/>
  </r>
  <r>
    <x v="109"/>
    <d v="2026-09-21T00:00:00"/>
    <d v="2026-09-19T00:00:00"/>
    <s v="CP017"/>
    <s v="EQ0002"/>
    <s v="SELL"/>
    <n v="29600"/>
    <n v="115.48"/>
    <s v="EUR"/>
    <x v="2"/>
    <x v="1"/>
    <s v="settle_before_trade, settle_on_weekend"/>
    <n v="9"/>
    <x v="1"/>
    <x v="1"/>
    <n v="0"/>
    <n v="0"/>
    <n v="0"/>
    <n v="1"/>
    <n v="1"/>
    <n v="0"/>
    <n v="0"/>
    <n v="0"/>
    <n v="0"/>
  </r>
  <r>
    <x v="110"/>
    <d v="2026-09-21T00:00:00"/>
    <d v="2026-09-26T00:00:00"/>
    <s v="CP001"/>
    <s v="ET0004"/>
    <s v="SELL"/>
    <n v="9400"/>
    <n v="98.6"/>
    <s v="USD"/>
    <x v="3"/>
    <x v="0"/>
    <s v="settle_on_weekend"/>
    <n v="9"/>
    <x v="1"/>
    <x v="1"/>
    <n v="0"/>
    <n v="0"/>
    <n v="0"/>
    <n v="0"/>
    <n v="1"/>
    <n v="0"/>
    <n v="0"/>
    <n v="0"/>
    <n v="0"/>
  </r>
  <r>
    <x v="111"/>
    <d v="2026-09-21T00:00:00"/>
    <d v="2026-09-23T00:00:00"/>
    <s v="CP022"/>
    <s v="ET0005"/>
    <s v="SELL"/>
    <n v="78100"/>
    <n v="77.52"/>
    <s v="USD"/>
    <x v="2"/>
    <x v="1"/>
    <s v="quantity_over_limit"/>
    <n v="9"/>
    <x v="1"/>
    <x v="1"/>
    <n v="0"/>
    <n v="0"/>
    <n v="0"/>
    <n v="0"/>
    <n v="0"/>
    <n v="1"/>
    <n v="0"/>
    <n v="0"/>
    <n v="0"/>
  </r>
  <r>
    <x v="112"/>
    <d v="2026-09-21T00:00:00"/>
    <d v="2026-09-23T00:00:00"/>
    <s v="CP026"/>
    <s v="CB0003"/>
    <s v="BUY"/>
    <n v="57600"/>
    <n v="106.95"/>
    <s v="USD"/>
    <x v="1"/>
    <x v="1"/>
    <s v="quantity_over_limit"/>
    <n v="9"/>
    <x v="1"/>
    <x v="1"/>
    <n v="0"/>
    <n v="0"/>
    <n v="0"/>
    <n v="0"/>
    <n v="0"/>
    <n v="1"/>
    <n v="0"/>
    <n v="0"/>
    <n v="0"/>
  </r>
  <r>
    <x v="113"/>
    <d v="2026-09-21T00:00:00"/>
    <d v="2026-09-23T00:00:00"/>
    <s v="CP018"/>
    <s v="GB0006"/>
    <s v="BUY"/>
    <n v="10000"/>
    <n v="99.79"/>
    <s v="GBP"/>
    <x v="1"/>
    <x v="1"/>
    <s v="currency_mismatch"/>
    <n v="9"/>
    <x v="1"/>
    <x v="1"/>
    <n v="0"/>
    <n v="0"/>
    <n v="0"/>
    <n v="0"/>
    <n v="0"/>
    <n v="0"/>
    <n v="0"/>
    <n v="1"/>
    <n v="0"/>
  </r>
  <r>
    <x v="104"/>
    <d v="2026-09-21T00:00:00"/>
    <d v="2026-09-23T00:00:00"/>
    <s v="CP022"/>
    <s v="EQ0001"/>
    <s v="BUY"/>
    <n v="37900"/>
    <n v="177.36"/>
    <s v="USD"/>
    <x v="1"/>
    <x v="0"/>
    <s v="duplicate_trade_id"/>
    <n v="9"/>
    <x v="1"/>
    <x v="1"/>
    <n v="0"/>
    <n v="0"/>
    <n v="0"/>
    <n v="0"/>
    <n v="0"/>
    <n v="0"/>
    <n v="0"/>
    <n v="0"/>
    <n v="1"/>
  </r>
  <r>
    <x v="102"/>
    <d v="2026-09-21T00:00:00"/>
    <d v="2026-09-23T00:00:00"/>
    <s v="CP038"/>
    <s v="GB0002"/>
    <s v="BUY"/>
    <n v="4000"/>
    <n v="103.01"/>
    <s v="GBP"/>
    <x v="1"/>
    <x v="1"/>
    <s v="duplicate_trade_id"/>
    <n v="9"/>
    <x v="1"/>
    <x v="1"/>
    <n v="0"/>
    <n v="0"/>
    <n v="0"/>
    <n v="0"/>
    <n v="0"/>
    <n v="0"/>
    <n v="0"/>
    <n v="0"/>
    <n v="1"/>
  </r>
  <r>
    <x v="103"/>
    <d v="2026-09-21T00:00:00"/>
    <d v="2026-09-23T00:00:00"/>
    <s v="CP035"/>
    <s v="ET0002"/>
    <s v="SELL"/>
    <n v="29600"/>
    <n v="147.24"/>
    <s v="GBP"/>
    <x v="4"/>
    <x v="0"/>
    <s v="duplicate_trade_id"/>
    <n v="9"/>
    <x v="1"/>
    <x v="1"/>
    <n v="0"/>
    <n v="0"/>
    <n v="0"/>
    <n v="0"/>
    <n v="0"/>
    <n v="0"/>
    <n v="0"/>
    <n v="0"/>
    <n v="1"/>
  </r>
  <r>
    <x v="114"/>
    <d v="2026-09-22T00:00:00"/>
    <d v="2026-09-24T00:00:00"/>
    <s v="CP032"/>
    <s v="CB0004"/>
    <s v="BUY"/>
    <n v="15000"/>
    <n v="107.21"/>
    <s v="GBP"/>
    <x v="1"/>
    <x v="0"/>
    <s v="duplicate_trade_id"/>
    <n v="8"/>
    <x v="1"/>
    <x v="1"/>
    <n v="0"/>
    <n v="0"/>
    <n v="0"/>
    <n v="0"/>
    <n v="0"/>
    <n v="0"/>
    <n v="0"/>
    <n v="0"/>
    <n v="1"/>
  </r>
  <r>
    <x v="115"/>
    <d v="2026-09-22T00:00:00"/>
    <d v="2026-09-24T00:00:00"/>
    <m/>
    <s v="EQ0001"/>
    <s v="BUY"/>
    <n v="4300"/>
    <n v="169.49"/>
    <s v="USD"/>
    <x v="3"/>
    <x v="1"/>
    <s v="missing_field"/>
    <n v="8"/>
    <x v="1"/>
    <x v="1"/>
    <n v="1"/>
    <n v="0"/>
    <n v="0"/>
    <n v="0"/>
    <n v="0"/>
    <n v="0"/>
    <n v="0"/>
    <n v="0"/>
    <n v="0"/>
  </r>
  <r>
    <x v="116"/>
    <d v="2026-09-22T00:00:00"/>
    <d v="2026-09-24T00:00:00"/>
    <s v="CP021"/>
    <s v="EQ0008"/>
    <s v="SELL"/>
    <m/>
    <n v="93.08"/>
    <s v="USD"/>
    <x v="3"/>
    <x v="1"/>
    <s v="missing_field"/>
    <n v="8"/>
    <x v="1"/>
    <x v="1"/>
    <n v="1"/>
    <n v="0"/>
    <n v="0"/>
    <n v="0"/>
    <n v="0"/>
    <n v="0"/>
    <n v="0"/>
    <n v="0"/>
    <n v="0"/>
  </r>
  <r>
    <x v="117"/>
    <d v="2026-09-22T00:00:00"/>
    <d v="2026-09-24T00:00:00"/>
    <s v="CP023"/>
    <s v="ET0072"/>
    <s v="BUY"/>
    <n v="14000"/>
    <n v="104.31"/>
    <s v="GBP"/>
    <x v="4"/>
    <x v="1"/>
    <s v="unknown_product"/>
    <n v="8"/>
    <x v="1"/>
    <x v="1"/>
    <n v="0"/>
    <n v="0"/>
    <n v="1"/>
    <n v="0"/>
    <n v="0"/>
    <n v="0"/>
    <n v="0"/>
    <n v="0"/>
    <n v="0"/>
  </r>
  <r>
    <x v="118"/>
    <d v="2026-09-22T00:00:00"/>
    <d v="2026-09-24T00:00:00"/>
    <s v="CP005"/>
    <s v="EQ0051"/>
    <s v="SELL"/>
    <n v="11000"/>
    <n v="102.96"/>
    <s v="USD"/>
    <x v="0"/>
    <x v="1"/>
    <s v="unknown_product"/>
    <n v="8"/>
    <x v="1"/>
    <x v="1"/>
    <n v="0"/>
    <n v="0"/>
    <n v="1"/>
    <n v="0"/>
    <n v="0"/>
    <n v="0"/>
    <n v="0"/>
    <n v="0"/>
    <n v="0"/>
  </r>
  <r>
    <x v="119"/>
    <d v="2026-09-22T00:00:00"/>
    <d v="2026-09-26T00:00:00"/>
    <s v="CP020"/>
    <s v="EQ0005"/>
    <s v="SELL"/>
    <n v="32700"/>
    <n v="183.98"/>
    <s v="USD"/>
    <x v="0"/>
    <x v="1"/>
    <s v="settle_on_weekend"/>
    <n v="8"/>
    <x v="1"/>
    <x v="1"/>
    <n v="0"/>
    <n v="0"/>
    <n v="0"/>
    <n v="0"/>
    <n v="1"/>
    <n v="0"/>
    <n v="0"/>
    <n v="0"/>
    <n v="0"/>
  </r>
  <r>
    <x v="120"/>
    <d v="2026-09-22T00:00:00"/>
    <d v="2026-09-26T00:00:00"/>
    <s v="CP007"/>
    <s v="EQ0003"/>
    <s v="BUY"/>
    <n v="12300"/>
    <n v="211.78"/>
    <s v="EUR"/>
    <x v="3"/>
    <x v="0"/>
    <s v="settle_on_weekend"/>
    <n v="8"/>
    <x v="1"/>
    <x v="1"/>
    <n v="0"/>
    <n v="0"/>
    <n v="0"/>
    <n v="0"/>
    <n v="1"/>
    <n v="0"/>
    <n v="0"/>
    <n v="0"/>
    <n v="0"/>
  </r>
  <r>
    <x v="121"/>
    <d v="2026-09-22T00:00:00"/>
    <d v="2026-09-24T00:00:00"/>
    <s v="CP012"/>
    <s v="EQ0009"/>
    <s v="SELL"/>
    <n v="118300"/>
    <n v="25.36"/>
    <s v="EUR"/>
    <x v="1"/>
    <x v="1"/>
    <s v="quantity_over_limit"/>
    <n v="8"/>
    <x v="1"/>
    <x v="1"/>
    <n v="0"/>
    <n v="0"/>
    <n v="0"/>
    <n v="0"/>
    <n v="0"/>
    <n v="1"/>
    <n v="0"/>
    <n v="0"/>
    <n v="0"/>
  </r>
  <r>
    <x v="122"/>
    <d v="2026-09-22T00:00:00"/>
    <d v="2026-09-24T00:00:00"/>
    <s v="CP039"/>
    <s v="CB0005"/>
    <s v="BUY"/>
    <n v="16000"/>
    <n v="107.44"/>
    <s v="GBP"/>
    <x v="1"/>
    <x v="0"/>
    <s v="suspended_counterparty"/>
    <n v="8"/>
    <x v="1"/>
    <x v="1"/>
    <n v="0"/>
    <n v="0"/>
    <n v="0"/>
    <n v="0"/>
    <n v="0"/>
    <n v="0"/>
    <n v="1"/>
    <n v="0"/>
    <n v="0"/>
  </r>
  <r>
    <x v="123"/>
    <d v="2026-09-22T00:00:00"/>
    <d v="2026-09-24T00:00:00"/>
    <s v="CP026"/>
    <s v="ET0001"/>
    <s v="SELL"/>
    <n v="1500"/>
    <n v="106.79"/>
    <s v="USD"/>
    <x v="1"/>
    <x v="0"/>
    <s v="currency_mismatch"/>
    <n v="8"/>
    <x v="1"/>
    <x v="1"/>
    <n v="0"/>
    <n v="0"/>
    <n v="0"/>
    <n v="0"/>
    <n v="0"/>
    <n v="0"/>
    <n v="0"/>
    <n v="1"/>
    <n v="0"/>
  </r>
  <r>
    <x v="114"/>
    <d v="2026-09-22T00:00:00"/>
    <d v="2026-09-24T00:00:00"/>
    <s v="CP032"/>
    <s v="CB0004"/>
    <s v="BUY"/>
    <n v="15000"/>
    <n v="107.21"/>
    <s v="GBP"/>
    <x v="1"/>
    <x v="0"/>
    <s v="duplicate_trade_id"/>
    <n v="8"/>
    <x v="1"/>
    <x v="1"/>
    <n v="0"/>
    <n v="0"/>
    <n v="0"/>
    <n v="0"/>
    <n v="0"/>
    <n v="0"/>
    <n v="0"/>
    <n v="0"/>
    <n v="1"/>
  </r>
  <r>
    <x v="124"/>
    <d v="2026-09-23T00:00:00"/>
    <d v="2026-09-25T00:00:00"/>
    <m/>
    <s v="GB0002"/>
    <s v="SELL"/>
    <n v="16000"/>
    <n v="101.79"/>
    <s v="GBP"/>
    <x v="4"/>
    <x v="1"/>
    <s v="missing_field"/>
    <n v="7"/>
    <x v="1"/>
    <x v="1"/>
    <n v="1"/>
    <n v="0"/>
    <n v="0"/>
    <n v="0"/>
    <n v="0"/>
    <n v="0"/>
    <n v="0"/>
    <n v="0"/>
    <n v="0"/>
  </r>
  <r>
    <x v="125"/>
    <d v="2026-09-23T00:00:00"/>
    <m/>
    <s v="CP024"/>
    <s v="CB0002"/>
    <s v="SELL"/>
    <n v="11000"/>
    <n v="93.44"/>
    <s v="EUR"/>
    <x v="4"/>
    <x v="1"/>
    <s v="missing_field"/>
    <n v="7"/>
    <x v="1"/>
    <x v="1"/>
    <n v="1"/>
    <n v="0"/>
    <n v="0"/>
    <n v="0"/>
    <n v="0"/>
    <n v="0"/>
    <n v="0"/>
    <n v="0"/>
    <n v="0"/>
  </r>
  <r>
    <x v="126"/>
    <d v="2026-09-23T00:00:00"/>
    <d v="2026-09-25T00:00:00"/>
    <s v="CP038"/>
    <s v="ET0002"/>
    <s v="BUY"/>
    <m/>
    <n v="149.24"/>
    <s v="GBP"/>
    <x v="2"/>
    <x v="1"/>
    <s v="missing_field"/>
    <n v="7"/>
    <x v="1"/>
    <x v="1"/>
    <n v="1"/>
    <n v="0"/>
    <n v="0"/>
    <n v="0"/>
    <n v="0"/>
    <n v="0"/>
    <n v="0"/>
    <n v="0"/>
    <n v="0"/>
  </r>
  <r>
    <x v="127"/>
    <d v="2026-09-23T00:00:00"/>
    <d v="2026-09-25T00:00:00"/>
    <s v="CP073"/>
    <s v="ET0002"/>
    <s v="BUY"/>
    <n v="21200"/>
    <n v="145.31"/>
    <s v="GBP"/>
    <x v="1"/>
    <x v="1"/>
    <s v="unknown_counterparty"/>
    <n v="7"/>
    <x v="1"/>
    <x v="1"/>
    <n v="0"/>
    <n v="1"/>
    <n v="0"/>
    <n v="0"/>
    <n v="0"/>
    <n v="0"/>
    <n v="0"/>
    <n v="0"/>
    <n v="0"/>
  </r>
  <r>
    <x v="128"/>
    <d v="2026-09-23T00:00:00"/>
    <d v="2026-09-25T00:00:00"/>
    <s v="CP161"/>
    <s v="EQ0003"/>
    <s v="BUY"/>
    <n v="2200"/>
    <n v="210.39"/>
    <s v="EUR"/>
    <x v="1"/>
    <x v="1"/>
    <s v="unknown_counterparty"/>
    <n v="7"/>
    <x v="1"/>
    <x v="1"/>
    <n v="0"/>
    <n v="1"/>
    <n v="0"/>
    <n v="0"/>
    <n v="0"/>
    <n v="0"/>
    <n v="0"/>
    <n v="0"/>
    <n v="0"/>
  </r>
  <r>
    <x v="129"/>
    <d v="2026-09-23T00:00:00"/>
    <d v="2026-09-25T00:00:00"/>
    <s v="CP012"/>
    <s v="CB0087"/>
    <s v="SELL"/>
    <n v="6800"/>
    <n v="115.05"/>
    <s v="EUR"/>
    <x v="0"/>
    <x v="1"/>
    <s v="unknown_product"/>
    <n v="7"/>
    <x v="1"/>
    <x v="1"/>
    <n v="0"/>
    <n v="0"/>
    <n v="1"/>
    <n v="0"/>
    <n v="0"/>
    <n v="0"/>
    <n v="0"/>
    <n v="0"/>
    <n v="0"/>
  </r>
  <r>
    <x v="130"/>
    <d v="2026-09-23T00:00:00"/>
    <d v="2026-09-25T00:00:00"/>
    <s v="CP022"/>
    <s v="CB0058"/>
    <s v="BUY"/>
    <n v="31700"/>
    <n v="25.06"/>
    <s v="EUR"/>
    <x v="3"/>
    <x v="1"/>
    <s v="unknown_product"/>
    <n v="7"/>
    <x v="1"/>
    <x v="1"/>
    <n v="0"/>
    <n v="0"/>
    <n v="1"/>
    <n v="0"/>
    <n v="0"/>
    <n v="0"/>
    <n v="0"/>
    <n v="0"/>
    <n v="0"/>
  </r>
  <r>
    <x v="131"/>
    <d v="2026-09-23T00:00:00"/>
    <d v="2026-09-21T00:00:00"/>
    <s v="CP010"/>
    <s v="GB0001"/>
    <s v="SELL"/>
    <n v="10000"/>
    <n v="101.64"/>
    <s v="EUR"/>
    <x v="4"/>
    <x v="1"/>
    <s v="settle_before_trade"/>
    <n v="7"/>
    <x v="1"/>
    <x v="1"/>
    <n v="0"/>
    <n v="0"/>
    <n v="0"/>
    <n v="1"/>
    <n v="0"/>
    <n v="0"/>
    <n v="0"/>
    <n v="0"/>
    <n v="0"/>
  </r>
  <r>
    <x v="132"/>
    <d v="2026-09-23T00:00:00"/>
    <d v="2026-09-21T00:00:00"/>
    <s v="CP012"/>
    <s v="EQ0008"/>
    <s v="SELL"/>
    <n v="1800"/>
    <n v="94.89"/>
    <s v="USD"/>
    <x v="4"/>
    <x v="1"/>
    <s v="settle_before_trade"/>
    <n v="7"/>
    <x v="1"/>
    <x v="1"/>
    <n v="0"/>
    <n v="0"/>
    <n v="0"/>
    <n v="1"/>
    <n v="0"/>
    <n v="0"/>
    <n v="0"/>
    <n v="0"/>
    <n v="0"/>
  </r>
  <r>
    <x v="133"/>
    <d v="2026-09-23T00:00:00"/>
    <d v="2026-09-21T00:00:00"/>
    <s v="CP016"/>
    <s v="EQ0006"/>
    <s v="BUY"/>
    <n v="11500"/>
    <n v="88.04"/>
    <s v="USD"/>
    <x v="0"/>
    <x v="1"/>
    <s v="settle_before_trade"/>
    <n v="7"/>
    <x v="1"/>
    <x v="1"/>
    <n v="0"/>
    <n v="0"/>
    <n v="0"/>
    <n v="1"/>
    <n v="0"/>
    <n v="0"/>
    <n v="0"/>
    <n v="0"/>
    <n v="0"/>
  </r>
  <r>
    <x v="134"/>
    <d v="2026-09-23T00:00:00"/>
    <d v="2026-09-22T00:00:00"/>
    <s v="CP015"/>
    <s v="EQ0012"/>
    <s v="SELL"/>
    <n v="12900"/>
    <n v="65.42"/>
    <s v="GBP"/>
    <x v="1"/>
    <x v="0"/>
    <s v="settle_before_trade"/>
    <n v="7"/>
    <x v="1"/>
    <x v="1"/>
    <n v="0"/>
    <n v="0"/>
    <n v="0"/>
    <n v="1"/>
    <n v="0"/>
    <n v="0"/>
    <n v="0"/>
    <n v="0"/>
    <n v="0"/>
  </r>
  <r>
    <x v="135"/>
    <d v="2026-09-23T00:00:00"/>
    <d v="2026-09-22T00:00:00"/>
    <s v="CP024"/>
    <s v="CB0006"/>
    <s v="BUY"/>
    <n v="7000"/>
    <n v="107.8"/>
    <s v="USD"/>
    <x v="2"/>
    <x v="1"/>
    <s v="settle_before_trade"/>
    <n v="7"/>
    <x v="1"/>
    <x v="1"/>
    <n v="0"/>
    <n v="0"/>
    <n v="0"/>
    <n v="1"/>
    <n v="0"/>
    <n v="0"/>
    <n v="0"/>
    <n v="0"/>
    <n v="0"/>
  </r>
  <r>
    <x v="136"/>
    <d v="2026-09-23T00:00:00"/>
    <d v="2026-09-26T00:00:00"/>
    <s v="CP004"/>
    <s v="CB0003"/>
    <s v="BUY"/>
    <n v="6000"/>
    <n v="101.86"/>
    <s v="USD"/>
    <x v="4"/>
    <x v="0"/>
    <s v="settle_on_weekend"/>
    <n v="7"/>
    <x v="1"/>
    <x v="1"/>
    <n v="0"/>
    <n v="0"/>
    <n v="0"/>
    <n v="0"/>
    <n v="1"/>
    <n v="0"/>
    <n v="0"/>
    <n v="0"/>
    <n v="0"/>
  </r>
  <r>
    <x v="137"/>
    <d v="2026-09-23T00:00:00"/>
    <d v="2026-09-26T00:00:00"/>
    <s v="CP001"/>
    <s v="GB0004"/>
    <s v="SELL"/>
    <n v="5000"/>
    <n v="100.51"/>
    <s v="GBP"/>
    <x v="1"/>
    <x v="1"/>
    <s v="settle_on_weekend"/>
    <n v="7"/>
    <x v="1"/>
    <x v="1"/>
    <n v="0"/>
    <n v="0"/>
    <n v="0"/>
    <n v="0"/>
    <n v="1"/>
    <n v="0"/>
    <n v="0"/>
    <n v="0"/>
    <n v="0"/>
  </r>
  <r>
    <x v="138"/>
    <d v="2026-09-23T00:00:00"/>
    <d v="2026-09-25T00:00:00"/>
    <s v="CP009"/>
    <s v="GB0007"/>
    <s v="BUY"/>
    <n v="71600"/>
    <n v="102.43"/>
    <s v="USD"/>
    <x v="2"/>
    <x v="1"/>
    <s v="quantity_over_limit"/>
    <n v="7"/>
    <x v="1"/>
    <x v="1"/>
    <n v="0"/>
    <n v="0"/>
    <n v="0"/>
    <n v="0"/>
    <n v="0"/>
    <n v="1"/>
    <n v="0"/>
    <n v="0"/>
    <n v="0"/>
  </r>
  <r>
    <x v="139"/>
    <d v="2026-09-23T00:00:00"/>
    <d v="2026-09-25T00:00:00"/>
    <s v="CP028"/>
    <s v="CB0001"/>
    <s v="BUY"/>
    <n v="55600"/>
    <n v="102.41"/>
    <s v="GBP"/>
    <x v="3"/>
    <x v="1"/>
    <s v="quantity_over_limit"/>
    <n v="7"/>
    <x v="1"/>
    <x v="1"/>
    <n v="0"/>
    <n v="0"/>
    <n v="0"/>
    <n v="0"/>
    <n v="0"/>
    <n v="1"/>
    <n v="0"/>
    <n v="0"/>
    <n v="0"/>
  </r>
  <r>
    <x v="140"/>
    <d v="2026-09-23T00:00:00"/>
    <d v="2026-09-25T00:00:00"/>
    <s v="CP006"/>
    <s v="CB0006"/>
    <s v="SELL"/>
    <n v="12000"/>
    <n v="106.14"/>
    <s v="USD"/>
    <x v="2"/>
    <x v="0"/>
    <s v="suspended_counterparty"/>
    <n v="7"/>
    <x v="1"/>
    <x v="1"/>
    <n v="0"/>
    <n v="0"/>
    <n v="0"/>
    <n v="0"/>
    <n v="0"/>
    <n v="0"/>
    <n v="1"/>
    <n v="0"/>
    <n v="0"/>
  </r>
  <r>
    <x v="141"/>
    <d v="2026-09-23T00:00:00"/>
    <d v="2026-09-25T00:00:00"/>
    <s v="CP034"/>
    <s v="ET0003"/>
    <s v="SELL"/>
    <n v="26600"/>
    <n v="91.82"/>
    <s v="EUR"/>
    <x v="4"/>
    <x v="1"/>
    <s v="currency_mismatch"/>
    <n v="7"/>
    <x v="1"/>
    <x v="1"/>
    <n v="0"/>
    <n v="0"/>
    <n v="0"/>
    <n v="0"/>
    <n v="0"/>
    <n v="0"/>
    <n v="0"/>
    <n v="1"/>
    <n v="0"/>
  </r>
  <r>
    <x v="142"/>
    <d v="2026-09-23T00:00:00"/>
    <d v="2026-09-25T00:00:00"/>
    <s v="CP015"/>
    <s v="EQ0007"/>
    <s v="BUY"/>
    <n v="23800"/>
    <n v="98.39"/>
    <s v="EUR"/>
    <x v="0"/>
    <x v="0"/>
    <s v="currency_mismatch"/>
    <n v="7"/>
    <x v="1"/>
    <x v="1"/>
    <n v="0"/>
    <n v="0"/>
    <n v="0"/>
    <n v="0"/>
    <n v="0"/>
    <n v="0"/>
    <n v="0"/>
    <n v="1"/>
    <n v="0"/>
  </r>
  <r>
    <x v="143"/>
    <d v="2026-09-24T00:00:00"/>
    <d v="2026-09-28T00:00:00"/>
    <s v="CP023"/>
    <s v="GB0006"/>
    <s v="SELL"/>
    <n v="11000"/>
    <n v="103.53"/>
    <s v="USD"/>
    <x v="2"/>
    <x v="0"/>
    <s v="duplicate_trade_id"/>
    <n v="6"/>
    <x v="1"/>
    <x v="1"/>
    <n v="0"/>
    <n v="0"/>
    <n v="0"/>
    <n v="0"/>
    <n v="0"/>
    <n v="0"/>
    <n v="0"/>
    <n v="0"/>
    <n v="1"/>
  </r>
  <r>
    <x v="144"/>
    <d v="2026-09-24T00:00:00"/>
    <d v="2026-09-28T00:00:00"/>
    <s v="CP057"/>
    <s v="EQ0002"/>
    <s v="BUY"/>
    <n v="8900"/>
    <n v="120.33"/>
    <s v="EUR"/>
    <x v="1"/>
    <x v="1"/>
    <s v="unknown_counterparty"/>
    <n v="6"/>
    <x v="1"/>
    <x v="1"/>
    <n v="0"/>
    <n v="1"/>
    <n v="0"/>
    <n v="0"/>
    <n v="0"/>
    <n v="0"/>
    <n v="0"/>
    <n v="0"/>
    <n v="0"/>
  </r>
  <r>
    <x v="145"/>
    <d v="2026-09-24T00:00:00"/>
    <d v="2026-09-28T00:00:00"/>
    <s v="CP003"/>
    <s v="CB0054"/>
    <s v="BUY"/>
    <n v="25900"/>
    <n v="42.46"/>
    <s v="GBP"/>
    <x v="1"/>
    <x v="1"/>
    <s v="unknown_product"/>
    <n v="6"/>
    <x v="1"/>
    <x v="1"/>
    <n v="0"/>
    <n v="0"/>
    <n v="1"/>
    <n v="0"/>
    <n v="0"/>
    <n v="0"/>
    <n v="0"/>
    <n v="0"/>
    <n v="0"/>
  </r>
  <r>
    <x v="146"/>
    <d v="2026-09-24T00:00:00"/>
    <d v="2026-09-26T00:00:00"/>
    <s v="CP010"/>
    <s v="ET0003"/>
    <s v="BUY"/>
    <n v="29400"/>
    <n v="90.59"/>
    <s v="GBP"/>
    <x v="4"/>
    <x v="0"/>
    <s v="settle_on_weekend"/>
    <n v="6"/>
    <x v="1"/>
    <x v="1"/>
    <n v="0"/>
    <n v="0"/>
    <n v="0"/>
    <n v="0"/>
    <n v="1"/>
    <n v="0"/>
    <n v="0"/>
    <n v="0"/>
    <n v="0"/>
  </r>
  <r>
    <x v="147"/>
    <d v="2026-09-24T00:00:00"/>
    <d v="2026-09-28T00:00:00"/>
    <s v="CP033"/>
    <s v="CB0008"/>
    <s v="BUY"/>
    <n v="3000"/>
    <n v="110.4"/>
    <s v="USD"/>
    <x v="2"/>
    <x v="0"/>
    <s v="suspended_counterparty"/>
    <n v="6"/>
    <x v="1"/>
    <x v="1"/>
    <n v="0"/>
    <n v="0"/>
    <n v="0"/>
    <n v="0"/>
    <n v="0"/>
    <n v="0"/>
    <n v="1"/>
    <n v="0"/>
    <n v="0"/>
  </r>
  <r>
    <x v="148"/>
    <d v="2026-09-24T00:00:00"/>
    <d v="2026-09-28T00:00:00"/>
    <s v="CP039"/>
    <s v="EQ0006"/>
    <s v="BUY"/>
    <n v="21200"/>
    <n v="89.85"/>
    <s v="USD"/>
    <x v="2"/>
    <x v="1"/>
    <s v="suspended_counterparty"/>
    <n v="6"/>
    <x v="1"/>
    <x v="1"/>
    <n v="0"/>
    <n v="0"/>
    <n v="0"/>
    <n v="0"/>
    <n v="0"/>
    <n v="0"/>
    <n v="1"/>
    <n v="0"/>
    <n v="0"/>
  </r>
  <r>
    <x v="143"/>
    <d v="2026-09-24T00:00:00"/>
    <d v="2026-09-28T00:00:00"/>
    <s v="CP023"/>
    <s v="GB0006"/>
    <s v="SELL"/>
    <n v="11000"/>
    <n v="103.53"/>
    <s v="USD"/>
    <x v="2"/>
    <x v="0"/>
    <s v="duplicate_trade_id"/>
    <n v="6"/>
    <x v="1"/>
    <x v="1"/>
    <n v="0"/>
    <n v="0"/>
    <n v="0"/>
    <n v="0"/>
    <n v="0"/>
    <n v="0"/>
    <n v="0"/>
    <n v="0"/>
    <n v="1"/>
  </r>
  <r>
    <x v="149"/>
    <d v="2026-09-25T00:00:00"/>
    <d v="2026-09-29T00:00:00"/>
    <s v="CP024"/>
    <s v="EQ0008"/>
    <s v="BUY"/>
    <m/>
    <n v="93.13"/>
    <s v="USD"/>
    <x v="1"/>
    <x v="1"/>
    <s v="missing_field"/>
    <n v="5"/>
    <x v="2"/>
    <x v="2"/>
    <n v="1"/>
    <n v="0"/>
    <n v="0"/>
    <n v="0"/>
    <n v="0"/>
    <n v="0"/>
    <n v="0"/>
    <n v="0"/>
    <n v="0"/>
  </r>
  <r>
    <x v="150"/>
    <d v="2026-09-25T00:00:00"/>
    <d v="2026-09-29T00:00:00"/>
    <s v="CP043"/>
    <s v="CB0002"/>
    <s v="BUY"/>
    <n v="1000"/>
    <n v="92.46"/>
    <s v="EUR"/>
    <x v="2"/>
    <x v="0"/>
    <s v="unknown_counterparty"/>
    <n v="5"/>
    <x v="2"/>
    <x v="2"/>
    <n v="0"/>
    <n v="1"/>
    <n v="0"/>
    <n v="0"/>
    <n v="0"/>
    <n v="0"/>
    <n v="0"/>
    <n v="0"/>
    <n v="0"/>
  </r>
  <r>
    <x v="151"/>
    <d v="2026-09-25T00:00:00"/>
    <d v="2026-09-29T00:00:00"/>
    <s v="CP095"/>
    <s v="ET0005"/>
    <s v="SELL"/>
    <n v="9100"/>
    <n v="76.989999999999995"/>
    <s v="USD"/>
    <x v="2"/>
    <x v="0"/>
    <s v="unknown_counterparty"/>
    <n v="5"/>
    <x v="2"/>
    <x v="2"/>
    <n v="0"/>
    <n v="1"/>
    <n v="0"/>
    <n v="0"/>
    <n v="0"/>
    <n v="0"/>
    <n v="0"/>
    <n v="0"/>
    <n v="0"/>
  </r>
  <r>
    <x v="152"/>
    <d v="2026-09-25T00:00:00"/>
    <d v="2026-09-29T00:00:00"/>
    <s v="CP143"/>
    <s v="EQ0012"/>
    <s v="BUY"/>
    <n v="900"/>
    <n v="62.94"/>
    <s v="GBP"/>
    <x v="4"/>
    <x v="1"/>
    <s v="unknown_counterparty"/>
    <n v="5"/>
    <x v="2"/>
    <x v="2"/>
    <n v="0"/>
    <n v="1"/>
    <n v="0"/>
    <n v="0"/>
    <n v="0"/>
    <n v="0"/>
    <n v="0"/>
    <n v="0"/>
    <n v="0"/>
  </r>
  <r>
    <x v="153"/>
    <d v="2026-09-25T00:00:00"/>
    <d v="2026-09-29T00:00:00"/>
    <s v="CP017"/>
    <s v="CB0090"/>
    <s v="BUY"/>
    <n v="20000"/>
    <n v="99.2"/>
    <s v="GBP"/>
    <x v="3"/>
    <x v="1"/>
    <s v="unknown_product"/>
    <n v="5"/>
    <x v="2"/>
    <x v="2"/>
    <n v="0"/>
    <n v="0"/>
    <n v="1"/>
    <n v="0"/>
    <n v="0"/>
    <n v="0"/>
    <n v="0"/>
    <n v="0"/>
    <n v="0"/>
  </r>
  <r>
    <x v="154"/>
    <d v="2026-09-25T00:00:00"/>
    <d v="2026-09-29T00:00:00"/>
    <s v="CP011"/>
    <s v="ET0052"/>
    <s v="BUY"/>
    <n v="9000"/>
    <n v="101.65"/>
    <s v="USD"/>
    <x v="3"/>
    <x v="1"/>
    <s v="unknown_product"/>
    <n v="5"/>
    <x v="2"/>
    <x v="2"/>
    <n v="0"/>
    <n v="0"/>
    <n v="1"/>
    <n v="0"/>
    <n v="0"/>
    <n v="0"/>
    <n v="0"/>
    <n v="0"/>
    <n v="0"/>
  </r>
  <r>
    <x v="155"/>
    <d v="2026-09-25T00:00:00"/>
    <d v="2026-09-23T00:00:00"/>
    <s v="CP037"/>
    <s v="EQ0009"/>
    <s v="BUY"/>
    <n v="9000"/>
    <n v="25.07"/>
    <s v="EUR"/>
    <x v="4"/>
    <x v="1"/>
    <s v="settle_before_trade"/>
    <n v="5"/>
    <x v="2"/>
    <x v="2"/>
    <n v="0"/>
    <n v="0"/>
    <n v="0"/>
    <n v="1"/>
    <n v="0"/>
    <n v="0"/>
    <n v="0"/>
    <n v="0"/>
    <n v="0"/>
  </r>
  <r>
    <x v="156"/>
    <d v="2026-09-25T00:00:00"/>
    <d v="2026-09-26T00:00:00"/>
    <s v="CP003"/>
    <s v="ET0003"/>
    <s v="SELL"/>
    <n v="26500"/>
    <n v="93.75"/>
    <s v="GBP"/>
    <x v="3"/>
    <x v="0"/>
    <s v="settle_on_weekend"/>
    <n v="5"/>
    <x v="2"/>
    <x v="2"/>
    <n v="0"/>
    <n v="0"/>
    <n v="0"/>
    <n v="0"/>
    <n v="1"/>
    <n v="0"/>
    <n v="0"/>
    <n v="0"/>
    <n v="0"/>
  </r>
  <r>
    <x v="157"/>
    <d v="2026-09-25T00:00:00"/>
    <d v="2026-09-26T00:00:00"/>
    <s v="CP038"/>
    <s v="EQ0005"/>
    <s v="SELL"/>
    <n v="14100"/>
    <n v="190.23"/>
    <s v="USD"/>
    <x v="1"/>
    <x v="0"/>
    <s v="settle_on_weekend"/>
    <n v="5"/>
    <x v="2"/>
    <x v="2"/>
    <n v="0"/>
    <n v="0"/>
    <n v="0"/>
    <n v="0"/>
    <n v="1"/>
    <n v="0"/>
    <n v="0"/>
    <n v="0"/>
    <n v="0"/>
  </r>
  <r>
    <x v="158"/>
    <d v="2026-09-25T00:00:00"/>
    <d v="2026-09-29T00:00:00"/>
    <s v="CP018"/>
    <s v="ET0005"/>
    <s v="SELL"/>
    <n v="59700"/>
    <n v="81.03"/>
    <s v="USD"/>
    <x v="1"/>
    <x v="0"/>
    <s v="quantity_over_limit"/>
    <n v="5"/>
    <x v="2"/>
    <x v="2"/>
    <n v="0"/>
    <n v="0"/>
    <n v="0"/>
    <n v="0"/>
    <n v="0"/>
    <n v="1"/>
    <n v="0"/>
    <n v="0"/>
    <n v="0"/>
  </r>
  <r>
    <x v="159"/>
    <d v="2026-09-25T00:00:00"/>
    <d v="2026-09-29T00:00:00"/>
    <s v="CP028"/>
    <s v="EQ0011"/>
    <s v="BUY"/>
    <n v="67500"/>
    <n v="79.88"/>
    <s v="EUR"/>
    <x v="2"/>
    <x v="1"/>
    <s v="quantity_over_limit"/>
    <n v="5"/>
    <x v="2"/>
    <x v="2"/>
    <n v="0"/>
    <n v="0"/>
    <n v="0"/>
    <n v="0"/>
    <n v="0"/>
    <n v="1"/>
    <n v="0"/>
    <n v="0"/>
    <n v="0"/>
  </r>
  <r>
    <x v="160"/>
    <d v="2026-09-25T00:00:00"/>
    <d v="2026-09-29T00:00:00"/>
    <s v="CP003"/>
    <s v="CB0007"/>
    <s v="SELL"/>
    <n v="42600"/>
    <n v="95.28"/>
    <s v="GBP"/>
    <x v="3"/>
    <x v="1"/>
    <s v="quantity_over_limit"/>
    <n v="5"/>
    <x v="2"/>
    <x v="2"/>
    <n v="0"/>
    <n v="0"/>
    <n v="0"/>
    <n v="0"/>
    <n v="0"/>
    <n v="1"/>
    <n v="0"/>
    <n v="0"/>
    <n v="0"/>
  </r>
  <r>
    <x v="161"/>
    <d v="2026-09-25T00:00:00"/>
    <d v="2026-09-29T00:00:00"/>
    <s v="CP027"/>
    <s v="EQ0010"/>
    <s v="BUY"/>
    <n v="28800"/>
    <n v="72.489999999999995"/>
    <s v="USD"/>
    <x v="1"/>
    <x v="1"/>
    <s v="suspended_counterparty"/>
    <n v="5"/>
    <x v="2"/>
    <x v="2"/>
    <n v="0"/>
    <n v="0"/>
    <n v="0"/>
    <n v="0"/>
    <n v="0"/>
    <n v="0"/>
    <n v="1"/>
    <n v="0"/>
    <n v="0"/>
  </r>
  <r>
    <x v="162"/>
    <d v="2026-09-25T00:00:00"/>
    <d v="2026-09-29T00:00:00"/>
    <s v="CP030"/>
    <s v="CB0007"/>
    <s v="SELL"/>
    <n v="1000"/>
    <n v="98.06"/>
    <s v="USD"/>
    <x v="0"/>
    <x v="1"/>
    <s v="currency_mismatch"/>
    <n v="5"/>
    <x v="2"/>
    <x v="2"/>
    <n v="0"/>
    <n v="0"/>
    <n v="0"/>
    <n v="0"/>
    <n v="0"/>
    <n v="0"/>
    <n v="0"/>
    <n v="1"/>
    <n v="0"/>
  </r>
  <r>
    <x v="163"/>
    <d v="2026-09-28T00:00:00"/>
    <d v="2026-09-30T00:00:00"/>
    <s v="CP013"/>
    <s v="EQ0012"/>
    <s v="SELL"/>
    <n v="8400"/>
    <n v="62.48"/>
    <s v="GBP"/>
    <x v="4"/>
    <x v="0"/>
    <s v="duplicate_trade_id"/>
    <n v="2"/>
    <x v="3"/>
    <x v="3"/>
    <n v="0"/>
    <n v="0"/>
    <n v="0"/>
    <n v="0"/>
    <n v="0"/>
    <n v="0"/>
    <n v="0"/>
    <n v="0"/>
    <n v="1"/>
  </r>
  <r>
    <x v="164"/>
    <d v="2026-09-28T00:00:00"/>
    <m/>
    <s v="CP004"/>
    <s v="EQ0002"/>
    <s v="SELL"/>
    <n v="29500"/>
    <n v="118.23"/>
    <s v="EUR"/>
    <x v="3"/>
    <x v="1"/>
    <s v="missing_field"/>
    <n v="2"/>
    <x v="3"/>
    <x v="3"/>
    <n v="1"/>
    <n v="0"/>
    <n v="0"/>
    <n v="0"/>
    <n v="0"/>
    <n v="0"/>
    <n v="0"/>
    <n v="0"/>
    <n v="0"/>
  </r>
  <r>
    <x v="165"/>
    <d v="2026-09-28T00:00:00"/>
    <d v="2026-09-30T00:00:00"/>
    <s v="CP109"/>
    <s v="GB0002"/>
    <s v="SELL"/>
    <n v="9000"/>
    <n v="103.24"/>
    <s v="GBP"/>
    <x v="3"/>
    <x v="1"/>
    <s v="unknown_counterparty"/>
    <n v="2"/>
    <x v="3"/>
    <x v="3"/>
    <n v="0"/>
    <n v="1"/>
    <n v="0"/>
    <n v="0"/>
    <n v="0"/>
    <n v="0"/>
    <n v="0"/>
    <n v="0"/>
    <n v="0"/>
  </r>
  <r>
    <x v="166"/>
    <d v="2026-09-28T00:00:00"/>
    <d v="2026-09-25T00:00:00"/>
    <s v="CP024"/>
    <s v="GB0002"/>
    <s v="SELL"/>
    <n v="14000"/>
    <n v="102.55"/>
    <s v="GBP"/>
    <x v="3"/>
    <x v="1"/>
    <s v="settle_before_trade"/>
    <n v="2"/>
    <x v="3"/>
    <x v="3"/>
    <n v="0"/>
    <n v="0"/>
    <n v="0"/>
    <n v="1"/>
    <n v="0"/>
    <n v="0"/>
    <n v="0"/>
    <n v="0"/>
    <n v="0"/>
  </r>
  <r>
    <x v="167"/>
    <d v="2026-09-28T00:00:00"/>
    <d v="2026-10-03T00:00:00"/>
    <s v="CP011"/>
    <s v="CB0005"/>
    <s v="BUY"/>
    <n v="4000"/>
    <n v="105.49"/>
    <s v="GBP"/>
    <x v="3"/>
    <x v="0"/>
    <s v="settle_on_weekend"/>
    <n v="2"/>
    <x v="3"/>
    <x v="3"/>
    <n v="0"/>
    <n v="0"/>
    <n v="0"/>
    <n v="0"/>
    <n v="1"/>
    <n v="0"/>
    <n v="0"/>
    <n v="0"/>
    <n v="0"/>
  </r>
  <r>
    <x v="168"/>
    <d v="2026-09-28T00:00:00"/>
    <d v="2026-09-30T00:00:00"/>
    <s v="CP008"/>
    <s v="EQ0009"/>
    <s v="BUY"/>
    <n v="125400"/>
    <n v="25.36"/>
    <s v="EUR"/>
    <x v="2"/>
    <x v="1"/>
    <s v="quantity_over_limit"/>
    <n v="2"/>
    <x v="3"/>
    <x v="3"/>
    <n v="0"/>
    <n v="0"/>
    <n v="0"/>
    <n v="0"/>
    <n v="0"/>
    <n v="1"/>
    <n v="0"/>
    <n v="0"/>
    <n v="0"/>
  </r>
  <r>
    <x v="169"/>
    <d v="2026-09-28T00:00:00"/>
    <d v="2026-09-30T00:00:00"/>
    <s v="CP025"/>
    <s v="ET0005"/>
    <s v="BUY"/>
    <n v="64600"/>
    <n v="78.34"/>
    <s v="USD"/>
    <x v="4"/>
    <x v="1"/>
    <s v="quantity_over_limit"/>
    <n v="2"/>
    <x v="3"/>
    <x v="3"/>
    <n v="0"/>
    <n v="0"/>
    <n v="0"/>
    <n v="0"/>
    <n v="0"/>
    <n v="1"/>
    <n v="0"/>
    <n v="0"/>
    <n v="0"/>
  </r>
  <r>
    <x v="163"/>
    <d v="2026-09-28T00:00:00"/>
    <d v="2026-09-30T00:00:00"/>
    <s v="CP013"/>
    <s v="EQ0012"/>
    <s v="SELL"/>
    <n v="8400"/>
    <n v="62.48"/>
    <s v="GBP"/>
    <x v="4"/>
    <x v="0"/>
    <s v="duplicate_trade_id"/>
    <n v="2"/>
    <x v="3"/>
    <x v="3"/>
    <n v="0"/>
    <n v="0"/>
    <n v="0"/>
    <n v="0"/>
    <n v="0"/>
    <n v="0"/>
    <n v="0"/>
    <n v="0"/>
    <n v="1"/>
  </r>
  <r>
    <x v="170"/>
    <d v="2026-09-29T00:00:00"/>
    <d v="2026-10-01T00:00:00"/>
    <m/>
    <s v="ET0005"/>
    <s v="BUY"/>
    <n v="11600"/>
    <n v="80.05"/>
    <s v="USD"/>
    <x v="0"/>
    <x v="1"/>
    <s v="missing_field"/>
    <n v="1"/>
    <x v="3"/>
    <x v="3"/>
    <n v="1"/>
    <n v="0"/>
    <n v="0"/>
    <n v="0"/>
    <n v="0"/>
    <n v="0"/>
    <n v="0"/>
    <n v="0"/>
    <n v="0"/>
  </r>
  <r>
    <x v="171"/>
    <d v="2026-09-29T00:00:00"/>
    <d v="2026-10-01T00:00:00"/>
    <s v="CP023"/>
    <s v="CB0080"/>
    <s v="BUY"/>
    <n v="7000"/>
    <n v="104.05"/>
    <s v="GBP"/>
    <x v="0"/>
    <x v="1"/>
    <s v="unknown_product"/>
    <n v="1"/>
    <x v="3"/>
    <x v="3"/>
    <n v="0"/>
    <n v="0"/>
    <n v="1"/>
    <n v="0"/>
    <n v="0"/>
    <n v="0"/>
    <n v="0"/>
    <n v="0"/>
    <n v="0"/>
  </r>
  <r>
    <x v="172"/>
    <d v="2026-09-29T00:00:00"/>
    <d v="2026-10-01T00:00:00"/>
    <s v="CP027"/>
    <s v="GB0006"/>
    <s v="SELL"/>
    <n v="5000"/>
    <n v="104.27"/>
    <s v="USD"/>
    <x v="3"/>
    <x v="0"/>
    <s v="suspended_counterparty"/>
    <n v="1"/>
    <x v="3"/>
    <x v="3"/>
    <n v="0"/>
    <n v="0"/>
    <n v="0"/>
    <n v="0"/>
    <n v="0"/>
    <n v="0"/>
    <n v="1"/>
    <n v="0"/>
    <n v="0"/>
  </r>
  <r>
    <x v="173"/>
    <d v="2026-09-29T00:00:00"/>
    <d v="2026-10-01T00:00:00"/>
    <s v="CP003"/>
    <s v="GB0002"/>
    <s v="SELL"/>
    <n v="10000"/>
    <n v="100.28"/>
    <s v="USD"/>
    <x v="4"/>
    <x v="0"/>
    <s v="currency_mismatch"/>
    <n v="1"/>
    <x v="3"/>
    <x v="3"/>
    <n v="0"/>
    <n v="0"/>
    <n v="0"/>
    <n v="0"/>
    <n v="0"/>
    <n v="0"/>
    <n v="0"/>
    <n v="1"/>
    <n v="0"/>
  </r>
  <r>
    <x v="174"/>
    <d v="2026-09-30T00:00:00"/>
    <d v="2026-10-02T00:00:00"/>
    <m/>
    <s v="ET0004"/>
    <s v="SELL"/>
    <n v="18000"/>
    <n v="100.09"/>
    <s v="USD"/>
    <x v="4"/>
    <x v="1"/>
    <s v="missing_field"/>
    <n v="0"/>
    <x v="3"/>
    <x v="3"/>
    <n v="1"/>
    <n v="0"/>
    <n v="0"/>
    <n v="0"/>
    <n v="0"/>
    <n v="0"/>
    <n v="0"/>
    <n v="0"/>
    <n v="0"/>
  </r>
  <r>
    <x v="175"/>
    <d v="2026-09-30T00:00:00"/>
    <m/>
    <s v="CP036"/>
    <s v="ET0001"/>
    <s v="SELL"/>
    <n v="31800"/>
    <n v="106.29"/>
    <s v="GBP"/>
    <x v="4"/>
    <x v="1"/>
    <s v="missing_field"/>
    <n v="0"/>
    <x v="3"/>
    <x v="3"/>
    <n v="1"/>
    <n v="0"/>
    <n v="0"/>
    <n v="0"/>
    <n v="0"/>
    <n v="0"/>
    <n v="0"/>
    <n v="0"/>
    <n v="0"/>
  </r>
  <r>
    <x v="176"/>
    <d v="2026-09-30T00:00:00"/>
    <d v="2026-10-02T00:00:00"/>
    <s v="CP143"/>
    <s v="CB0002"/>
    <s v="BUY"/>
    <n v="7000"/>
    <n v="94.54"/>
    <s v="EUR"/>
    <x v="3"/>
    <x v="1"/>
    <s v="unknown_counterparty"/>
    <n v="0"/>
    <x v="3"/>
    <x v="3"/>
    <n v="0"/>
    <n v="1"/>
    <n v="0"/>
    <n v="0"/>
    <n v="0"/>
    <n v="0"/>
    <n v="0"/>
    <n v="0"/>
    <n v="0"/>
  </r>
  <r>
    <x v="177"/>
    <d v="2026-09-30T00:00:00"/>
    <d v="2026-10-02T00:00:00"/>
    <s v="CP001"/>
    <s v="GB0077"/>
    <s v="SELL"/>
    <n v="26700"/>
    <n v="107.34"/>
    <s v="GBP"/>
    <x v="0"/>
    <x v="1"/>
    <s v="unknown_product"/>
    <n v="0"/>
    <x v="3"/>
    <x v="3"/>
    <n v="0"/>
    <n v="0"/>
    <n v="1"/>
    <n v="0"/>
    <n v="0"/>
    <n v="0"/>
    <n v="0"/>
    <n v="0"/>
    <n v="0"/>
  </r>
  <r>
    <x v="178"/>
    <d v="2026-09-30T00:00:00"/>
    <d v="2026-10-03T00:00:00"/>
    <s v="CP037"/>
    <s v="CB0005"/>
    <s v="SELL"/>
    <n v="13000"/>
    <n v="106.62"/>
    <s v="GBP"/>
    <x v="3"/>
    <x v="1"/>
    <s v="settle_on_weekend"/>
    <n v="0"/>
    <x v="3"/>
    <x v="3"/>
    <n v="0"/>
    <n v="0"/>
    <n v="0"/>
    <n v="0"/>
    <n v="1"/>
    <n v="0"/>
    <n v="0"/>
    <n v="0"/>
    <n v="0"/>
  </r>
  <r>
    <x v="179"/>
    <d v="2026-09-30T00:00:00"/>
    <d v="2026-10-02T00:00:00"/>
    <s v="CP036"/>
    <s v="EQ0004"/>
    <s v="SELL"/>
    <n v="15500"/>
    <n v="43.25"/>
    <s v="USD"/>
    <x v="4"/>
    <x v="1"/>
    <s v="currency_mismatch"/>
    <n v="0"/>
    <x v="3"/>
    <x v="3"/>
    <n v="0"/>
    <n v="0"/>
    <n v="0"/>
    <n v="0"/>
    <n v="0"/>
    <n v="0"/>
    <n v="0"/>
    <n v="1"/>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5497592-D92C-4916-B857-422B6E7C7C8C}" name="pvtKPI"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0" firstDataRow="1" firstDataCol="0"/>
  <pivotFields count="24">
    <pivotField dataField="1" showAll="0">
      <items count="1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t="default"/>
      </items>
    </pivotField>
    <pivotField numFmtId="164" showAll="0"/>
    <pivotField showAll="0"/>
    <pivotField showAll="0"/>
    <pivotField showAll="0"/>
    <pivotField showAll="0"/>
    <pivotField showAll="0"/>
    <pivotField showAll="0"/>
    <pivotField showAll="0"/>
    <pivotField showAll="0">
      <items count="6">
        <item x="4"/>
        <item x="2"/>
        <item x="3"/>
        <item x="1"/>
        <item x="0"/>
        <item t="default"/>
      </items>
    </pivotField>
    <pivotField showAll="0">
      <items count="3">
        <item x="0"/>
        <item x="1"/>
        <item t="default"/>
      </items>
    </pivotField>
    <pivotField showAll="0"/>
    <pivotField dataField="1" showAll="0"/>
    <pivotField showAll="0">
      <items count="5">
        <item x="3"/>
        <item x="2"/>
        <item x="1"/>
        <item x="0"/>
        <item t="default"/>
      </items>
    </pivotField>
    <pivotField showAll="0">
      <items count="5">
        <item x="0"/>
        <item x="3"/>
        <item x="1"/>
        <item x="2"/>
        <item t="default"/>
      </items>
    </pivotField>
    <pivotField showAll="0"/>
    <pivotField showAll="0"/>
    <pivotField showAll="0"/>
    <pivotField showAll="0"/>
    <pivotField showAll="0"/>
    <pivotField showAll="0"/>
    <pivotField showAll="0"/>
    <pivotField showAll="0"/>
    <pivotField showAll="0"/>
  </pivotFields>
  <rowItems count="1">
    <i/>
  </rowItems>
  <colFields count="1">
    <field x="-2"/>
  </colFields>
  <colItems count="2">
    <i>
      <x/>
    </i>
    <i i="1">
      <x v="1"/>
    </i>
  </colItems>
  <dataFields count="2">
    <dataField name="Count of trade_id" fld="0" subtotal="count" baseField="0" baseItem="0"/>
    <dataField name="Average of days_open" fld="12" subtotal="average" baseField="0" baseItem="1"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B831A44-FEB8-4BAF-8608-2F214FEEBC8D}" name="pvtRule" cacheId="1"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5:B24" firstHeaderRow="1" firstDataRow="1" firstDataCol="1"/>
  <pivotFields count="24">
    <pivotField showAll="0"/>
    <pivotField numFmtId="164" showAll="0"/>
    <pivotField showAll="0"/>
    <pivotField showAll="0"/>
    <pivotField showAll="0"/>
    <pivotField showAll="0"/>
    <pivotField showAll="0"/>
    <pivotField showAll="0"/>
    <pivotField showAll="0"/>
    <pivotField showAll="0">
      <items count="6">
        <item x="4"/>
        <item x="2"/>
        <item x="3"/>
        <item x="1"/>
        <item x="0"/>
        <item t="default"/>
      </items>
    </pivotField>
    <pivotField showAll="0">
      <items count="3">
        <item x="0"/>
        <item x="1"/>
        <item t="default"/>
      </items>
    </pivotField>
    <pivotField showAll="0"/>
    <pivotField showAll="0"/>
    <pivotField showAll="0">
      <items count="5">
        <item x="3"/>
        <item x="2"/>
        <item x="1"/>
        <item x="0"/>
        <item t="default"/>
      </items>
    </pivotField>
    <pivotField showAll="0">
      <items count="5">
        <item x="0"/>
        <item x="3"/>
        <item x="1"/>
        <item x="2"/>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s>
  <rowFields count="1">
    <field x="-2"/>
  </rowFields>
  <rowItems count="9">
    <i>
      <x/>
    </i>
    <i i="1">
      <x v="1"/>
    </i>
    <i i="2">
      <x v="2"/>
    </i>
    <i i="3">
      <x v="3"/>
    </i>
    <i i="4">
      <x v="4"/>
    </i>
    <i i="5">
      <x v="5"/>
    </i>
    <i i="6">
      <x v="6"/>
    </i>
    <i i="7">
      <x v="7"/>
    </i>
    <i i="8">
      <x v="8"/>
    </i>
  </rowItems>
  <colItems count="1">
    <i/>
  </colItems>
  <dataFields count="9">
    <dataField name="duplicate_trade_ids" fld="23" baseField="0" baseItem="0"/>
    <dataField name="missing_fields" fld="15" baseField="0" baseItem="0"/>
    <dataField name="unknown_counterparties" fld="16" baseField="0" baseItem="0"/>
    <dataField name="quantity_over_limits" fld="20" baseField="0" baseItem="0"/>
    <dataField name="settle_on_weekends" fld="19" baseField="0" baseItem="0"/>
    <dataField name="unknown_products" fld="17" baseField="0" baseItem="0"/>
    <dataField name="settle_before_trades" fld="18" baseField="0" baseItem="0"/>
    <dataField name="suspended_counterparties" fld="21" baseField="0" baseItem="0"/>
    <dataField name="currency_mismatches" fld="22"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296E8B8-FF07-4301-92B9-C120A6A3658A}" name="pvtDesk"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J3:K9" firstHeaderRow="1" firstDataRow="1" firstDataCol="1"/>
  <pivotFields count="24">
    <pivotField dataField="1" showAll="0">
      <items count="1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t="default"/>
      </items>
    </pivotField>
    <pivotField numFmtId="164" showAll="0"/>
    <pivotField showAll="0"/>
    <pivotField showAll="0"/>
    <pivotField showAll="0"/>
    <pivotField showAll="0"/>
    <pivotField showAll="0"/>
    <pivotField showAll="0"/>
    <pivotField showAll="0"/>
    <pivotField axis="axisRow" showAll="0" sortType="descending">
      <items count="6">
        <item x="4"/>
        <item x="2"/>
        <item x="3"/>
        <item x="1"/>
        <item x="0"/>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pivotField showAll="0"/>
    <pivotField showAll="0">
      <items count="5">
        <item x="3"/>
        <item x="2"/>
        <item x="1"/>
        <item x="0"/>
        <item t="default"/>
      </items>
    </pivotField>
    <pivotField showAll="0">
      <items count="5">
        <item x="0"/>
        <item x="3"/>
        <item x="1"/>
        <item x="2"/>
        <item t="default"/>
      </items>
    </pivotField>
    <pivotField showAll="0"/>
    <pivotField showAll="0"/>
    <pivotField showAll="0"/>
    <pivotField showAll="0"/>
    <pivotField showAll="0"/>
    <pivotField showAll="0"/>
    <pivotField showAll="0"/>
    <pivotField showAll="0"/>
    <pivotField showAll="0"/>
  </pivotFields>
  <rowFields count="1">
    <field x="9"/>
  </rowFields>
  <rowItems count="6">
    <i>
      <x v="3"/>
    </i>
    <i>
      <x v="1"/>
    </i>
    <i>
      <x v="2"/>
    </i>
    <i>
      <x v="4"/>
    </i>
    <i>
      <x/>
    </i>
    <i t="grand">
      <x/>
    </i>
  </rowItems>
  <colItems count="1">
    <i/>
  </colItems>
  <dataFields count="1">
    <dataField name="Count of trade_id" fld="0"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34DEBB3-403B-4E25-8558-4BF26539BB55}" name="pvtMethod"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3:H6" firstHeaderRow="1" firstDataRow="1" firstDataCol="1"/>
  <pivotFields count="24">
    <pivotField dataField="1" showAll="0">
      <items count="1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t="default"/>
      </items>
    </pivotField>
    <pivotField numFmtId="164" showAll="0"/>
    <pivotField showAll="0"/>
    <pivotField showAll="0"/>
    <pivotField showAll="0"/>
    <pivotField showAll="0"/>
    <pivotField showAll="0"/>
    <pivotField showAll="0"/>
    <pivotField showAll="0"/>
    <pivotField showAll="0">
      <items count="6">
        <item x="4"/>
        <item x="2"/>
        <item x="3"/>
        <item x="1"/>
        <item x="0"/>
        <item t="default"/>
      </items>
    </pivotField>
    <pivotField axis="axisRow" showAll="0">
      <items count="3">
        <item x="0"/>
        <item x="1"/>
        <item t="default"/>
      </items>
    </pivotField>
    <pivotField showAll="0"/>
    <pivotField showAll="0"/>
    <pivotField showAll="0">
      <items count="5">
        <item x="3"/>
        <item x="2"/>
        <item x="1"/>
        <item x="0"/>
        <item t="default"/>
      </items>
    </pivotField>
    <pivotField showAll="0">
      <items count="5">
        <item x="0"/>
        <item x="3"/>
        <item x="1"/>
        <item x="2"/>
        <item t="default"/>
      </items>
    </pivotField>
    <pivotField showAll="0"/>
    <pivotField showAll="0"/>
    <pivotField showAll="0"/>
    <pivotField showAll="0"/>
    <pivotField showAll="0"/>
    <pivotField showAll="0"/>
    <pivotField showAll="0"/>
    <pivotField showAll="0"/>
    <pivotField showAll="0"/>
  </pivotFields>
  <rowFields count="1">
    <field x="10"/>
  </rowFields>
  <rowItems count="3">
    <i>
      <x/>
    </i>
    <i>
      <x v="1"/>
    </i>
    <i t="grand">
      <x/>
    </i>
  </rowItems>
  <colItems count="1">
    <i/>
  </colItems>
  <dataFields count="1">
    <dataField name="Count of trade_id" fld="0" subtotal="count" baseField="0" baseItem="0"/>
  </dataFields>
  <chartFormats count="2">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51A7478-B4C7-4042-A022-E857F14CA30A}" name="pvtAg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3:E8" firstHeaderRow="1" firstDataRow="1" firstDataCol="1"/>
  <pivotFields count="24">
    <pivotField dataField="1" showAll="0">
      <items count="1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t="default"/>
      </items>
    </pivotField>
    <pivotField numFmtId="164" showAll="0"/>
    <pivotField showAll="0"/>
    <pivotField showAll="0"/>
    <pivotField showAll="0"/>
    <pivotField showAll="0"/>
    <pivotField showAll="0"/>
    <pivotField showAll="0"/>
    <pivotField showAll="0"/>
    <pivotField showAll="0">
      <items count="6">
        <item x="4"/>
        <item x="2"/>
        <item x="3"/>
        <item x="1"/>
        <item x="0"/>
        <item t="default"/>
      </items>
    </pivotField>
    <pivotField showAll="0">
      <items count="3">
        <item x="0"/>
        <item x="1"/>
        <item t="default"/>
      </items>
    </pivotField>
    <pivotField showAll="0"/>
    <pivotField showAll="0"/>
    <pivotField axis="axisRow" showAll="0">
      <items count="5">
        <item x="3"/>
        <item x="2"/>
        <item x="1"/>
        <item x="0"/>
        <item t="default"/>
      </items>
    </pivotField>
    <pivotField showAll="0">
      <items count="5">
        <item x="0"/>
        <item x="3"/>
        <item x="1"/>
        <item x="2"/>
        <item t="default"/>
      </items>
    </pivotField>
    <pivotField showAll="0"/>
    <pivotField showAll="0"/>
    <pivotField showAll="0"/>
    <pivotField showAll="0"/>
    <pivotField showAll="0"/>
    <pivotField showAll="0"/>
    <pivotField showAll="0"/>
    <pivotField showAll="0"/>
    <pivotField showAll="0"/>
  </pivotFields>
  <rowFields count="1">
    <field x="13"/>
  </rowFields>
  <rowItems count="5">
    <i>
      <x/>
    </i>
    <i>
      <x v="1"/>
    </i>
    <i>
      <x v="2"/>
    </i>
    <i>
      <x v="3"/>
    </i>
    <i t="grand">
      <x/>
    </i>
  </rowItems>
  <colItems count="1">
    <i/>
  </colItems>
  <dataFields count="1">
    <dataField name="Count of trade_id" fld="0" subtotal="count" baseField="0" baseItem="0"/>
  </dataFields>
  <chartFormats count="2">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ooking_desk" xr10:uid="{8876D113-91B7-4E25-9990-2E5C8389DE75}" sourceName="booking_desk">
  <pivotTables>
    <pivotTable tabId="3" name="pvtAge"/>
    <pivotTable tabId="3" name="pvtDesk"/>
    <pivotTable tabId="3" name="pvtKPI"/>
    <pivotTable tabId="3" name="pvtMethod"/>
    <pivotTable tabId="3" name="pvtRule"/>
  </pivotTables>
  <data>
    <tabular pivotCacheId="910837085">
      <items count="5">
        <i x="4" s="1"/>
        <i x="2" s="1"/>
        <i x="3"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ntry_method" xr10:uid="{6BD2B97B-FA5E-42AC-92E3-1347E93BFEDF}" sourceName="entry_method">
  <pivotTables>
    <pivotTable tabId="3" name="pvtAge"/>
    <pivotTable tabId="3" name="pvtDesk"/>
    <pivotTable tabId="3" name="pvtKPI"/>
    <pivotTable tabId="3" name="pvtMethod"/>
    <pivotTable tabId="3" name="pvtRule"/>
  </pivotTables>
  <data>
    <tabular pivotCacheId="910837085">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bucket" xr10:uid="{A96243DA-2EE2-4A61-A395-3253EA963BA7}" sourceName="age_bucket">
  <pivotTables>
    <pivotTable tabId="3" name="pvtAge"/>
    <pivotTable tabId="3" name="pvtDesk"/>
    <pivotTable tabId="3" name="pvtKPI"/>
    <pivotTable tabId="3" name="pvtMethod"/>
    <pivotTable tabId="3" name="pvtRule"/>
  </pivotTables>
  <data>
    <tabular pivotCacheId="910837085">
      <items count="4">
        <i x="3" s="1"/>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scalate_to" xr10:uid="{865D556B-E5A6-4492-8FD3-5386D69E96DE}" sourceName="escalate_to">
  <pivotTables>
    <pivotTable tabId="3" name="pvtAge"/>
    <pivotTable tabId="3" name="pvtDesk"/>
    <pivotTable tabId="3" name="pvtKPI"/>
    <pivotTable tabId="3" name="pvtMethod"/>
    <pivotTable tabId="3" name="pvtRule"/>
  </pivotTables>
  <data>
    <tabular pivotCacheId="910837085">
      <items count="4">
        <i x="0" s="1"/>
        <i x="3"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ooking_desk" xr10:uid="{CB5AC57C-A584-4FAD-B173-EBF19B267DC8}" cache="Slicer_booking_desk" caption="booking_desk" rowHeight="234950"/>
  <slicer name="entry_method" xr10:uid="{F29D54E0-46B3-41F7-B46C-8B4161BB7444}" cache="Slicer_entry_method" caption="entry_method" rowHeight="234950"/>
  <slicer name="age_bucket" xr10:uid="{87ADDB2F-ABE7-4700-935D-5BC73E0854CD}" cache="Slicer_age_bucket" caption="age_bucket" rowHeight="234950"/>
  <slicer name="escalate_to" xr10:uid="{ED8B90ED-2191-4F30-9E1A-38234751751F}" cache="Slicer_escalate_to" caption="escalate_to"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FCE2D90-86DA-4EEF-A71F-A3D86EDE5AEC}" name="tblExceptions" displayName="tblExceptions" ref="A1:X196" totalsRowShown="0" headerRowDxfId="4" headerRowBorderDxfId="3" tableBorderDxfId="2">
  <autoFilter ref="A1:X196" xr:uid="{5FCE2D90-86DA-4EEF-A71F-A3D86EDE5AEC}"/>
  <tableColumns count="24">
    <tableColumn id="1" xr3:uid="{CE0B4B9B-DCAF-49C7-AE05-DDA09F6EBD48}" name="trade_id"/>
    <tableColumn id="2" xr3:uid="{9202BAF7-4079-48B3-B08E-55BCC1DB72FA}" name="trade_date" dataDxfId="1"/>
    <tableColumn id="3" xr3:uid="{C435E944-7DA3-4EC5-808B-9370E7321D82}" name="settlement_date" dataDxfId="0"/>
    <tableColumn id="4" xr3:uid="{BE6935ED-F1BD-4680-BCFA-9D470575AADD}" name="counterparty_id"/>
    <tableColumn id="5" xr3:uid="{23F61718-2D84-4575-BF7F-76373661856A}" name="product_id"/>
    <tableColumn id="6" xr3:uid="{B0717F8A-5FE7-424F-9894-BC4FC6C3F5E1}" name="side"/>
    <tableColumn id="7" xr3:uid="{8ABFB5F1-4195-4036-8737-B527F85123B9}" name="quantity"/>
    <tableColumn id="8" xr3:uid="{2E9DADBC-011B-4E3C-A08F-1E307092D5D1}" name="price"/>
    <tableColumn id="9" xr3:uid="{360311AB-985A-4529-A71D-02F22F025643}" name="currency"/>
    <tableColumn id="10" xr3:uid="{6E1B210C-9688-42F7-9007-098F776A055C}" name="booking_desk"/>
    <tableColumn id="11" xr3:uid="{21D7FA96-1319-42D0-957E-54028955D59F}" name="entry_method"/>
    <tableColumn id="12" xr3:uid="{6F675579-4230-4767-B980-192B74A8E67D}" name="issues"/>
    <tableColumn id="13" xr3:uid="{0B7E7855-BA36-43E9-B261-A74B6156906A}" name="days_open"/>
    <tableColumn id="14" xr3:uid="{EBF8E3C5-7C6B-4551-B865-52F132EF8DD7}" name="age_bucket"/>
    <tableColumn id="15" xr3:uid="{D8BAFA7F-279E-43CE-93A9-33A83D7E9D35}" name="escalate_to"/>
    <tableColumn id="16" xr3:uid="{CAC7D681-45B2-468D-955E-ADF36DD1A1A5}" name="missing_field"/>
    <tableColumn id="17" xr3:uid="{AE2F01CE-E7C8-4063-AD68-DB572E011DCE}" name="unknown_counterparty"/>
    <tableColumn id="18" xr3:uid="{D367568B-9B99-45DD-8FA1-CB9C41F38E25}" name="unknown_product"/>
    <tableColumn id="19" xr3:uid="{DA3AAFD2-DA71-463A-BEA2-CCE313D1D2ED}" name="settle_before_trade"/>
    <tableColumn id="20" xr3:uid="{40D7B3B1-FD9D-4F18-93C2-96B3C3265EB2}" name="settle_on_weekend"/>
    <tableColumn id="21" xr3:uid="{64266271-EE57-42A4-B102-CDA942487E39}" name="quantity_over_limit"/>
    <tableColumn id="22" xr3:uid="{F3C86C44-E53C-454B-9084-57A86B420CAB}" name="suspended_counterparty"/>
    <tableColumn id="23" xr3:uid="{09D4EEB5-C483-4AA0-9157-E98ADFB97FE3}" name="currency_mismatch"/>
    <tableColumn id="24" xr3:uid="{C7A6DD34-5A52-4E90-8E91-AF5A344CD17B}" name="duplicate_trade_id"/>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96"/>
  <sheetViews>
    <sheetView topLeftCell="A2" workbookViewId="0">
      <selection activeCell="A2" sqref="A2"/>
    </sheetView>
  </sheetViews>
  <sheetFormatPr defaultRowHeight="14.4" x14ac:dyDescent="0.3"/>
  <cols>
    <col min="1" max="1" width="9.88671875" customWidth="1"/>
    <col min="2" max="2" width="12.109375" customWidth="1"/>
    <col min="3" max="3" width="16.6640625" customWidth="1"/>
    <col min="4" max="4" width="16.44140625" customWidth="1"/>
    <col min="5" max="5" width="12.109375" customWidth="1"/>
    <col min="7" max="7" width="10" customWidth="1"/>
    <col min="9" max="9" width="10.21875" customWidth="1"/>
    <col min="10" max="10" width="14.6640625" customWidth="1"/>
    <col min="11" max="11" width="15" customWidth="1"/>
    <col min="13" max="13" width="12.109375" customWidth="1"/>
    <col min="14" max="14" width="12.6640625" customWidth="1"/>
    <col min="15" max="15" width="12.44140625" customWidth="1"/>
    <col min="16" max="16" width="13.77734375" customWidth="1"/>
    <col min="17" max="17" width="22.88671875" customWidth="1"/>
    <col min="18" max="18" width="18.5546875" customWidth="1"/>
    <col min="19" max="19" width="19.44140625" customWidth="1"/>
    <col min="20" max="20" width="19.33203125" customWidth="1"/>
    <col min="21" max="21" width="19.44140625" customWidth="1"/>
    <col min="22" max="22" width="24" customWidth="1"/>
    <col min="23" max="23" width="19.44140625" customWidth="1"/>
    <col min="24" max="24" width="18.6640625" customWidth="1"/>
  </cols>
  <sheetData>
    <row r="1" spans="1:24" x14ac:dyDescent="0.3">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row>
    <row r="2" spans="1:24" x14ac:dyDescent="0.3">
      <c r="A2" t="s">
        <v>24</v>
      </c>
      <c r="B2" s="2">
        <v>46274</v>
      </c>
      <c r="C2" s="2">
        <v>46276</v>
      </c>
      <c r="D2" t="s">
        <v>25</v>
      </c>
      <c r="E2" t="s">
        <v>26</v>
      </c>
      <c r="F2" t="s">
        <v>27</v>
      </c>
      <c r="G2">
        <v>15000</v>
      </c>
      <c r="H2">
        <v>104.04</v>
      </c>
      <c r="I2" t="s">
        <v>28</v>
      </c>
      <c r="J2" t="s">
        <v>29</v>
      </c>
      <c r="K2" t="s">
        <v>30</v>
      </c>
      <c r="L2" t="s">
        <v>23</v>
      </c>
      <c r="M2">
        <v>21</v>
      </c>
      <c r="N2" t="s">
        <v>31</v>
      </c>
      <c r="O2" t="s">
        <v>32</v>
      </c>
      <c r="P2">
        <v>0</v>
      </c>
      <c r="Q2">
        <v>0</v>
      </c>
      <c r="R2">
        <v>0</v>
      </c>
      <c r="S2">
        <v>0</v>
      </c>
      <c r="T2">
        <v>0</v>
      </c>
      <c r="U2">
        <v>0</v>
      </c>
      <c r="V2">
        <v>0</v>
      </c>
      <c r="W2">
        <v>0</v>
      </c>
      <c r="X2">
        <v>1</v>
      </c>
    </row>
    <row r="3" spans="1:24" x14ac:dyDescent="0.3">
      <c r="A3" t="s">
        <v>33</v>
      </c>
      <c r="B3" s="2">
        <v>46274</v>
      </c>
      <c r="C3" s="2">
        <v>46276</v>
      </c>
      <c r="D3" t="s">
        <v>34</v>
      </c>
      <c r="E3" t="s">
        <v>35</v>
      </c>
      <c r="F3" t="s">
        <v>27</v>
      </c>
      <c r="H3">
        <v>145.63999999999999</v>
      </c>
      <c r="I3" t="s">
        <v>36</v>
      </c>
      <c r="J3" t="s">
        <v>37</v>
      </c>
      <c r="K3" t="s">
        <v>38</v>
      </c>
      <c r="L3" t="s">
        <v>15</v>
      </c>
      <c r="M3">
        <v>21</v>
      </c>
      <c r="N3" t="s">
        <v>31</v>
      </c>
      <c r="O3" t="s">
        <v>32</v>
      </c>
      <c r="P3">
        <v>1</v>
      </c>
      <c r="Q3">
        <v>0</v>
      </c>
      <c r="R3">
        <v>0</v>
      </c>
      <c r="S3">
        <v>0</v>
      </c>
      <c r="T3">
        <v>0</v>
      </c>
      <c r="U3">
        <v>0</v>
      </c>
      <c r="V3">
        <v>0</v>
      </c>
      <c r="W3">
        <v>0</v>
      </c>
      <c r="X3">
        <v>0</v>
      </c>
    </row>
    <row r="4" spans="1:24" x14ac:dyDescent="0.3">
      <c r="A4" t="s">
        <v>39</v>
      </c>
      <c r="B4" s="2">
        <v>46274</v>
      </c>
      <c r="C4" s="2">
        <v>46276</v>
      </c>
      <c r="D4" t="s">
        <v>40</v>
      </c>
      <c r="E4" t="s">
        <v>41</v>
      </c>
      <c r="F4" t="s">
        <v>27</v>
      </c>
      <c r="G4">
        <v>8000</v>
      </c>
      <c r="H4">
        <v>108.03</v>
      </c>
      <c r="I4" t="s">
        <v>42</v>
      </c>
      <c r="J4" t="s">
        <v>37</v>
      </c>
      <c r="K4" t="s">
        <v>30</v>
      </c>
      <c r="L4" t="s">
        <v>16</v>
      </c>
      <c r="M4">
        <v>21</v>
      </c>
      <c r="N4" t="s">
        <v>31</v>
      </c>
      <c r="O4" t="s">
        <v>32</v>
      </c>
      <c r="P4">
        <v>0</v>
      </c>
      <c r="Q4">
        <v>1</v>
      </c>
      <c r="R4">
        <v>0</v>
      </c>
      <c r="S4">
        <v>0</v>
      </c>
      <c r="T4">
        <v>0</v>
      </c>
      <c r="U4">
        <v>0</v>
      </c>
      <c r="V4">
        <v>0</v>
      </c>
      <c r="W4">
        <v>0</v>
      </c>
      <c r="X4">
        <v>0</v>
      </c>
    </row>
    <row r="5" spans="1:24" x14ac:dyDescent="0.3">
      <c r="A5" t="s">
        <v>43</v>
      </c>
      <c r="B5" s="2">
        <v>46274</v>
      </c>
      <c r="C5" s="2">
        <v>46276</v>
      </c>
      <c r="D5" t="s">
        <v>44</v>
      </c>
      <c r="E5" t="s">
        <v>45</v>
      </c>
      <c r="F5" t="s">
        <v>46</v>
      </c>
      <c r="G5">
        <v>34900</v>
      </c>
      <c r="H5">
        <v>96.48</v>
      </c>
      <c r="I5" t="s">
        <v>36</v>
      </c>
      <c r="J5" t="s">
        <v>29</v>
      </c>
      <c r="K5" t="s">
        <v>38</v>
      </c>
      <c r="L5" t="s">
        <v>16</v>
      </c>
      <c r="M5">
        <v>21</v>
      </c>
      <c r="N5" t="s">
        <v>31</v>
      </c>
      <c r="O5" t="s">
        <v>32</v>
      </c>
      <c r="P5">
        <v>0</v>
      </c>
      <c r="Q5">
        <v>1</v>
      </c>
      <c r="R5">
        <v>0</v>
      </c>
      <c r="S5">
        <v>0</v>
      </c>
      <c r="T5">
        <v>0</v>
      </c>
      <c r="U5">
        <v>0</v>
      </c>
      <c r="V5">
        <v>0</v>
      </c>
      <c r="W5">
        <v>0</v>
      </c>
      <c r="X5">
        <v>0</v>
      </c>
    </row>
    <row r="6" spans="1:24" x14ac:dyDescent="0.3">
      <c r="A6" t="s">
        <v>47</v>
      </c>
      <c r="B6" s="2">
        <v>46274</v>
      </c>
      <c r="C6" s="2">
        <v>46276</v>
      </c>
      <c r="D6" t="s">
        <v>48</v>
      </c>
      <c r="E6" t="s">
        <v>49</v>
      </c>
      <c r="F6" t="s">
        <v>46</v>
      </c>
      <c r="G6">
        <v>16000</v>
      </c>
      <c r="H6">
        <v>103.17</v>
      </c>
      <c r="I6" t="s">
        <v>28</v>
      </c>
      <c r="J6" t="s">
        <v>50</v>
      </c>
      <c r="K6" t="s">
        <v>38</v>
      </c>
      <c r="L6" t="s">
        <v>16</v>
      </c>
      <c r="M6">
        <v>21</v>
      </c>
      <c r="N6" t="s">
        <v>31</v>
      </c>
      <c r="O6" t="s">
        <v>32</v>
      </c>
      <c r="P6">
        <v>0</v>
      </c>
      <c r="Q6">
        <v>1</v>
      </c>
      <c r="R6">
        <v>0</v>
      </c>
      <c r="S6">
        <v>0</v>
      </c>
      <c r="T6">
        <v>0</v>
      </c>
      <c r="U6">
        <v>0</v>
      </c>
      <c r="V6">
        <v>0</v>
      </c>
      <c r="W6">
        <v>0</v>
      </c>
      <c r="X6">
        <v>0</v>
      </c>
    </row>
    <row r="7" spans="1:24" x14ac:dyDescent="0.3">
      <c r="A7" t="s">
        <v>51</v>
      </c>
      <c r="B7" s="2">
        <v>46274</v>
      </c>
      <c r="C7" s="2">
        <v>46276</v>
      </c>
      <c r="D7" t="s">
        <v>52</v>
      </c>
      <c r="E7" t="s">
        <v>53</v>
      </c>
      <c r="F7" t="s">
        <v>27</v>
      </c>
      <c r="G7">
        <v>25700</v>
      </c>
      <c r="H7">
        <v>95.42</v>
      </c>
      <c r="I7" t="s">
        <v>42</v>
      </c>
      <c r="J7" t="s">
        <v>29</v>
      </c>
      <c r="K7" t="s">
        <v>38</v>
      </c>
      <c r="L7" t="s">
        <v>16</v>
      </c>
      <c r="M7">
        <v>21</v>
      </c>
      <c r="N7" t="s">
        <v>31</v>
      </c>
      <c r="O7" t="s">
        <v>32</v>
      </c>
      <c r="P7">
        <v>0</v>
      </c>
      <c r="Q7">
        <v>1</v>
      </c>
      <c r="R7">
        <v>0</v>
      </c>
      <c r="S7">
        <v>0</v>
      </c>
      <c r="T7">
        <v>0</v>
      </c>
      <c r="U7">
        <v>0</v>
      </c>
      <c r="V7">
        <v>0</v>
      </c>
      <c r="W7">
        <v>0</v>
      </c>
      <c r="X7">
        <v>0</v>
      </c>
    </row>
    <row r="8" spans="1:24" x14ac:dyDescent="0.3">
      <c r="A8" t="s">
        <v>54</v>
      </c>
      <c r="B8" s="2">
        <v>46274</v>
      </c>
      <c r="C8" s="2">
        <v>46276</v>
      </c>
      <c r="D8" t="s">
        <v>55</v>
      </c>
      <c r="E8" t="s">
        <v>56</v>
      </c>
      <c r="F8" t="s">
        <v>46</v>
      </c>
      <c r="G8">
        <v>15100</v>
      </c>
      <c r="H8">
        <v>144.88</v>
      </c>
      <c r="I8" t="s">
        <v>36</v>
      </c>
      <c r="J8" t="s">
        <v>37</v>
      </c>
      <c r="K8" t="s">
        <v>38</v>
      </c>
      <c r="L8" t="s">
        <v>17</v>
      </c>
      <c r="M8">
        <v>21</v>
      </c>
      <c r="N8" t="s">
        <v>31</v>
      </c>
      <c r="O8" t="s">
        <v>32</v>
      </c>
      <c r="P8">
        <v>0</v>
      </c>
      <c r="Q8">
        <v>0</v>
      </c>
      <c r="R8">
        <v>1</v>
      </c>
      <c r="S8">
        <v>0</v>
      </c>
      <c r="T8">
        <v>0</v>
      </c>
      <c r="U8">
        <v>0</v>
      </c>
      <c r="V8">
        <v>0</v>
      </c>
      <c r="W8">
        <v>0</v>
      </c>
      <c r="X8">
        <v>0</v>
      </c>
    </row>
    <row r="9" spans="1:24" x14ac:dyDescent="0.3">
      <c r="A9" t="s">
        <v>57</v>
      </c>
      <c r="B9" s="2">
        <v>46274</v>
      </c>
      <c r="C9" s="2">
        <v>46271</v>
      </c>
      <c r="D9" t="s">
        <v>58</v>
      </c>
      <c r="E9" t="s">
        <v>59</v>
      </c>
      <c r="F9" t="s">
        <v>46</v>
      </c>
      <c r="G9">
        <v>9000</v>
      </c>
      <c r="H9">
        <v>100.35</v>
      </c>
      <c r="I9" t="s">
        <v>36</v>
      </c>
      <c r="J9" t="s">
        <v>60</v>
      </c>
      <c r="K9" t="s">
        <v>30</v>
      </c>
      <c r="L9" t="s">
        <v>61</v>
      </c>
      <c r="M9">
        <v>21</v>
      </c>
      <c r="N9" t="s">
        <v>31</v>
      </c>
      <c r="O9" t="s">
        <v>32</v>
      </c>
      <c r="P9">
        <v>0</v>
      </c>
      <c r="Q9">
        <v>0</v>
      </c>
      <c r="R9">
        <v>0</v>
      </c>
      <c r="S9">
        <v>1</v>
      </c>
      <c r="T9">
        <v>1</v>
      </c>
      <c r="U9">
        <v>0</v>
      </c>
      <c r="V9">
        <v>0</v>
      </c>
      <c r="W9">
        <v>0</v>
      </c>
      <c r="X9">
        <v>0</v>
      </c>
    </row>
    <row r="10" spans="1:24" x14ac:dyDescent="0.3">
      <c r="A10" t="s">
        <v>62</v>
      </c>
      <c r="B10" s="2">
        <v>46274</v>
      </c>
      <c r="C10" s="2">
        <v>46277</v>
      </c>
      <c r="D10" t="s">
        <v>63</v>
      </c>
      <c r="E10" t="s">
        <v>64</v>
      </c>
      <c r="F10" t="s">
        <v>27</v>
      </c>
      <c r="G10">
        <v>13000</v>
      </c>
      <c r="H10">
        <v>107.37</v>
      </c>
      <c r="I10" t="s">
        <v>42</v>
      </c>
      <c r="J10" t="s">
        <v>60</v>
      </c>
      <c r="K10" t="s">
        <v>38</v>
      </c>
      <c r="L10" t="s">
        <v>19</v>
      </c>
      <c r="M10">
        <v>21</v>
      </c>
      <c r="N10" t="s">
        <v>31</v>
      </c>
      <c r="O10" t="s">
        <v>32</v>
      </c>
      <c r="P10">
        <v>0</v>
      </c>
      <c r="Q10">
        <v>0</v>
      </c>
      <c r="R10">
        <v>0</v>
      </c>
      <c r="S10">
        <v>0</v>
      </c>
      <c r="T10">
        <v>1</v>
      </c>
      <c r="U10">
        <v>0</v>
      </c>
      <c r="V10">
        <v>0</v>
      </c>
      <c r="W10">
        <v>0</v>
      </c>
      <c r="X10">
        <v>0</v>
      </c>
    </row>
    <row r="11" spans="1:24" x14ac:dyDescent="0.3">
      <c r="A11" t="s">
        <v>65</v>
      </c>
      <c r="B11" s="2">
        <v>46274</v>
      </c>
      <c r="C11" s="2">
        <v>46277</v>
      </c>
      <c r="D11" t="s">
        <v>58</v>
      </c>
      <c r="E11" t="s">
        <v>66</v>
      </c>
      <c r="F11" t="s">
        <v>27</v>
      </c>
      <c r="G11">
        <v>8500</v>
      </c>
      <c r="H11">
        <v>71.05</v>
      </c>
      <c r="I11" t="s">
        <v>42</v>
      </c>
      <c r="J11" t="s">
        <v>29</v>
      </c>
      <c r="K11" t="s">
        <v>38</v>
      </c>
      <c r="L11" t="s">
        <v>19</v>
      </c>
      <c r="M11">
        <v>21</v>
      </c>
      <c r="N11" t="s">
        <v>31</v>
      </c>
      <c r="O11" t="s">
        <v>32</v>
      </c>
      <c r="P11">
        <v>0</v>
      </c>
      <c r="Q11">
        <v>0</v>
      </c>
      <c r="R11">
        <v>0</v>
      </c>
      <c r="S11">
        <v>0</v>
      </c>
      <c r="T11">
        <v>1</v>
      </c>
      <c r="U11">
        <v>0</v>
      </c>
      <c r="V11">
        <v>0</v>
      </c>
      <c r="W11">
        <v>0</v>
      </c>
      <c r="X11">
        <v>0</v>
      </c>
    </row>
    <row r="12" spans="1:24" x14ac:dyDescent="0.3">
      <c r="A12" t="s">
        <v>67</v>
      </c>
      <c r="B12" s="2">
        <v>46274</v>
      </c>
      <c r="C12" s="2">
        <v>46276</v>
      </c>
      <c r="D12" t="s">
        <v>68</v>
      </c>
      <c r="E12" t="s">
        <v>69</v>
      </c>
      <c r="F12" t="s">
        <v>46</v>
      </c>
      <c r="G12">
        <v>62000</v>
      </c>
      <c r="H12">
        <v>99.21</v>
      </c>
      <c r="I12" t="s">
        <v>42</v>
      </c>
      <c r="J12" t="s">
        <v>60</v>
      </c>
      <c r="K12" t="s">
        <v>38</v>
      </c>
      <c r="L12" t="s">
        <v>20</v>
      </c>
      <c r="M12">
        <v>21</v>
      </c>
      <c r="N12" t="s">
        <v>31</v>
      </c>
      <c r="O12" t="s">
        <v>32</v>
      </c>
      <c r="P12">
        <v>0</v>
      </c>
      <c r="Q12">
        <v>0</v>
      </c>
      <c r="R12">
        <v>0</v>
      </c>
      <c r="S12">
        <v>0</v>
      </c>
      <c r="T12">
        <v>0</v>
      </c>
      <c r="U12">
        <v>1</v>
      </c>
      <c r="V12">
        <v>0</v>
      </c>
      <c r="W12">
        <v>0</v>
      </c>
      <c r="X12">
        <v>0</v>
      </c>
    </row>
    <row r="13" spans="1:24" x14ac:dyDescent="0.3">
      <c r="A13" t="s">
        <v>70</v>
      </c>
      <c r="B13" s="2">
        <v>46274</v>
      </c>
      <c r="C13" s="2">
        <v>46276</v>
      </c>
      <c r="D13" t="s">
        <v>71</v>
      </c>
      <c r="E13" t="s">
        <v>69</v>
      </c>
      <c r="F13" t="s">
        <v>27</v>
      </c>
      <c r="G13">
        <v>41500</v>
      </c>
      <c r="H13">
        <v>104.1</v>
      </c>
      <c r="I13" t="s">
        <v>42</v>
      </c>
      <c r="J13" t="s">
        <v>37</v>
      </c>
      <c r="K13" t="s">
        <v>38</v>
      </c>
      <c r="L13" t="s">
        <v>20</v>
      </c>
      <c r="M13">
        <v>21</v>
      </c>
      <c r="N13" t="s">
        <v>31</v>
      </c>
      <c r="O13" t="s">
        <v>32</v>
      </c>
      <c r="P13">
        <v>0</v>
      </c>
      <c r="Q13">
        <v>0</v>
      </c>
      <c r="R13">
        <v>0</v>
      </c>
      <c r="S13">
        <v>0</v>
      </c>
      <c r="T13">
        <v>0</v>
      </c>
      <c r="U13">
        <v>1</v>
      </c>
      <c r="V13">
        <v>0</v>
      </c>
      <c r="W13">
        <v>0</v>
      </c>
      <c r="X13">
        <v>0</v>
      </c>
    </row>
    <row r="14" spans="1:24" x14ac:dyDescent="0.3">
      <c r="A14" t="s">
        <v>72</v>
      </c>
      <c r="B14" s="2">
        <v>46274</v>
      </c>
      <c r="C14" s="2">
        <v>46276</v>
      </c>
      <c r="D14" t="s">
        <v>73</v>
      </c>
      <c r="E14" t="s">
        <v>74</v>
      </c>
      <c r="F14" t="s">
        <v>46</v>
      </c>
      <c r="G14">
        <v>16000</v>
      </c>
      <c r="H14">
        <v>94.31</v>
      </c>
      <c r="I14" t="s">
        <v>28</v>
      </c>
      <c r="J14" t="s">
        <v>29</v>
      </c>
      <c r="K14" t="s">
        <v>38</v>
      </c>
      <c r="L14" t="s">
        <v>21</v>
      </c>
      <c r="M14">
        <v>21</v>
      </c>
      <c r="N14" t="s">
        <v>31</v>
      </c>
      <c r="O14" t="s">
        <v>32</v>
      </c>
      <c r="P14">
        <v>0</v>
      </c>
      <c r="Q14">
        <v>0</v>
      </c>
      <c r="R14">
        <v>0</v>
      </c>
      <c r="S14">
        <v>0</v>
      </c>
      <c r="T14">
        <v>0</v>
      </c>
      <c r="U14">
        <v>0</v>
      </c>
      <c r="V14">
        <v>1</v>
      </c>
      <c r="W14">
        <v>0</v>
      </c>
      <c r="X14">
        <v>0</v>
      </c>
    </row>
    <row r="15" spans="1:24" x14ac:dyDescent="0.3">
      <c r="A15" t="s">
        <v>75</v>
      </c>
      <c r="B15" s="2">
        <v>46274</v>
      </c>
      <c r="C15" s="2">
        <v>46276</v>
      </c>
      <c r="D15" t="s">
        <v>76</v>
      </c>
      <c r="E15" t="s">
        <v>66</v>
      </c>
      <c r="F15" t="s">
        <v>46</v>
      </c>
      <c r="G15">
        <v>33600</v>
      </c>
      <c r="H15">
        <v>72.05</v>
      </c>
      <c r="I15" t="s">
        <v>42</v>
      </c>
      <c r="J15" t="s">
        <v>37</v>
      </c>
      <c r="K15" t="s">
        <v>38</v>
      </c>
      <c r="L15" t="s">
        <v>21</v>
      </c>
      <c r="M15">
        <v>21</v>
      </c>
      <c r="N15" t="s">
        <v>31</v>
      </c>
      <c r="O15" t="s">
        <v>32</v>
      </c>
      <c r="P15">
        <v>0</v>
      </c>
      <c r="Q15">
        <v>0</v>
      </c>
      <c r="R15">
        <v>0</v>
      </c>
      <c r="S15">
        <v>0</v>
      </c>
      <c r="T15">
        <v>0</v>
      </c>
      <c r="U15">
        <v>0</v>
      </c>
      <c r="V15">
        <v>1</v>
      </c>
      <c r="W15">
        <v>0</v>
      </c>
      <c r="X15">
        <v>0</v>
      </c>
    </row>
    <row r="16" spans="1:24" x14ac:dyDescent="0.3">
      <c r="A16" t="s">
        <v>77</v>
      </c>
      <c r="B16" s="2">
        <v>46274</v>
      </c>
      <c r="C16" s="2">
        <v>46276</v>
      </c>
      <c r="D16" t="s">
        <v>78</v>
      </c>
      <c r="E16" t="s">
        <v>59</v>
      </c>
      <c r="F16" t="s">
        <v>27</v>
      </c>
      <c r="G16">
        <v>9000</v>
      </c>
      <c r="H16">
        <v>104.03</v>
      </c>
      <c r="I16" t="s">
        <v>28</v>
      </c>
      <c r="J16" t="s">
        <v>37</v>
      </c>
      <c r="K16" t="s">
        <v>38</v>
      </c>
      <c r="L16" t="s">
        <v>22</v>
      </c>
      <c r="M16">
        <v>21</v>
      </c>
      <c r="N16" t="s">
        <v>31</v>
      </c>
      <c r="O16" t="s">
        <v>32</v>
      </c>
      <c r="P16">
        <v>0</v>
      </c>
      <c r="Q16">
        <v>0</v>
      </c>
      <c r="R16">
        <v>0</v>
      </c>
      <c r="S16">
        <v>0</v>
      </c>
      <c r="T16">
        <v>0</v>
      </c>
      <c r="U16">
        <v>0</v>
      </c>
      <c r="V16">
        <v>0</v>
      </c>
      <c r="W16">
        <v>1</v>
      </c>
      <c r="X16">
        <v>0</v>
      </c>
    </row>
    <row r="17" spans="1:24" x14ac:dyDescent="0.3">
      <c r="A17" t="s">
        <v>24</v>
      </c>
      <c r="B17" s="2">
        <v>46274</v>
      </c>
      <c r="C17" s="2">
        <v>46276</v>
      </c>
      <c r="D17" t="s">
        <v>25</v>
      </c>
      <c r="E17" t="s">
        <v>26</v>
      </c>
      <c r="F17" t="s">
        <v>27</v>
      </c>
      <c r="G17">
        <v>15000</v>
      </c>
      <c r="H17">
        <v>104.04</v>
      </c>
      <c r="I17" t="s">
        <v>28</v>
      </c>
      <c r="J17" t="s">
        <v>29</v>
      </c>
      <c r="K17" t="s">
        <v>30</v>
      </c>
      <c r="L17" t="s">
        <v>23</v>
      </c>
      <c r="M17">
        <v>21</v>
      </c>
      <c r="N17" t="s">
        <v>31</v>
      </c>
      <c r="O17" t="s">
        <v>32</v>
      </c>
      <c r="P17">
        <v>0</v>
      </c>
      <c r="Q17">
        <v>0</v>
      </c>
      <c r="R17">
        <v>0</v>
      </c>
      <c r="S17">
        <v>0</v>
      </c>
      <c r="T17">
        <v>0</v>
      </c>
      <c r="U17">
        <v>0</v>
      </c>
      <c r="V17">
        <v>0</v>
      </c>
      <c r="W17">
        <v>0</v>
      </c>
      <c r="X17">
        <v>1</v>
      </c>
    </row>
    <row r="18" spans="1:24" x14ac:dyDescent="0.3">
      <c r="A18" t="s">
        <v>79</v>
      </c>
      <c r="B18" s="2">
        <v>46275</v>
      </c>
      <c r="C18" s="2">
        <v>46279</v>
      </c>
      <c r="D18" t="s">
        <v>80</v>
      </c>
      <c r="E18" t="s">
        <v>81</v>
      </c>
      <c r="F18" t="s">
        <v>46</v>
      </c>
      <c r="G18">
        <v>18400</v>
      </c>
      <c r="H18">
        <v>187.3</v>
      </c>
      <c r="I18" t="s">
        <v>42</v>
      </c>
      <c r="J18" t="s">
        <v>60</v>
      </c>
      <c r="K18" t="s">
        <v>30</v>
      </c>
      <c r="L18" t="s">
        <v>23</v>
      </c>
      <c r="M18">
        <v>20</v>
      </c>
      <c r="N18" t="s">
        <v>31</v>
      </c>
      <c r="O18" t="s">
        <v>32</v>
      </c>
      <c r="P18">
        <v>0</v>
      </c>
      <c r="Q18">
        <v>0</v>
      </c>
      <c r="R18">
        <v>0</v>
      </c>
      <c r="S18">
        <v>0</v>
      </c>
      <c r="T18">
        <v>0</v>
      </c>
      <c r="U18">
        <v>0</v>
      </c>
      <c r="V18">
        <v>0</v>
      </c>
      <c r="W18">
        <v>0</v>
      </c>
      <c r="X18">
        <v>1</v>
      </c>
    </row>
    <row r="19" spans="1:24" x14ac:dyDescent="0.3">
      <c r="A19" t="s">
        <v>82</v>
      </c>
      <c r="B19" s="2">
        <v>46275</v>
      </c>
      <c r="C19" s="2">
        <v>46279</v>
      </c>
      <c r="D19" t="s">
        <v>25</v>
      </c>
      <c r="E19" t="s">
        <v>59</v>
      </c>
      <c r="F19" t="s">
        <v>46</v>
      </c>
      <c r="G19">
        <v>8000</v>
      </c>
      <c r="H19">
        <v>105.41</v>
      </c>
      <c r="I19" t="s">
        <v>36</v>
      </c>
      <c r="J19" t="s">
        <v>29</v>
      </c>
      <c r="K19" t="s">
        <v>30</v>
      </c>
      <c r="L19" t="s">
        <v>23</v>
      </c>
      <c r="M19">
        <v>20</v>
      </c>
      <c r="N19" t="s">
        <v>31</v>
      </c>
      <c r="O19" t="s">
        <v>32</v>
      </c>
      <c r="P19">
        <v>0</v>
      </c>
      <c r="Q19">
        <v>0</v>
      </c>
      <c r="R19">
        <v>0</v>
      </c>
      <c r="S19">
        <v>0</v>
      </c>
      <c r="T19">
        <v>0</v>
      </c>
      <c r="U19">
        <v>0</v>
      </c>
      <c r="V19">
        <v>0</v>
      </c>
      <c r="W19">
        <v>0</v>
      </c>
      <c r="X19">
        <v>1</v>
      </c>
    </row>
    <row r="20" spans="1:24" x14ac:dyDescent="0.3">
      <c r="A20" t="s">
        <v>83</v>
      </c>
      <c r="B20" s="2">
        <v>46275</v>
      </c>
      <c r="C20" s="2">
        <v>46279</v>
      </c>
      <c r="D20" t="s">
        <v>84</v>
      </c>
      <c r="E20" t="s">
        <v>85</v>
      </c>
      <c r="F20" t="s">
        <v>27</v>
      </c>
      <c r="G20">
        <v>10300</v>
      </c>
      <c r="H20">
        <v>90.78</v>
      </c>
      <c r="I20" t="s">
        <v>42</v>
      </c>
      <c r="J20" t="s">
        <v>60</v>
      </c>
      <c r="K20" t="s">
        <v>30</v>
      </c>
      <c r="L20" t="s">
        <v>23</v>
      </c>
      <c r="M20">
        <v>20</v>
      </c>
      <c r="N20" t="s">
        <v>31</v>
      </c>
      <c r="O20" t="s">
        <v>32</v>
      </c>
      <c r="P20">
        <v>0</v>
      </c>
      <c r="Q20">
        <v>0</v>
      </c>
      <c r="R20">
        <v>0</v>
      </c>
      <c r="S20">
        <v>0</v>
      </c>
      <c r="T20">
        <v>0</v>
      </c>
      <c r="U20">
        <v>0</v>
      </c>
      <c r="V20">
        <v>0</v>
      </c>
      <c r="W20">
        <v>0</v>
      </c>
      <c r="X20">
        <v>1</v>
      </c>
    </row>
    <row r="21" spans="1:24" x14ac:dyDescent="0.3">
      <c r="A21" t="s">
        <v>86</v>
      </c>
      <c r="B21" s="2">
        <v>46275</v>
      </c>
      <c r="C21" s="2">
        <v>46279</v>
      </c>
      <c r="D21" t="s">
        <v>87</v>
      </c>
      <c r="E21" t="s">
        <v>85</v>
      </c>
      <c r="F21" t="s">
        <v>27</v>
      </c>
      <c r="G21">
        <v>32200</v>
      </c>
      <c r="H21">
        <v>88.02</v>
      </c>
      <c r="I21" t="s">
        <v>42</v>
      </c>
      <c r="J21" t="s">
        <v>37</v>
      </c>
      <c r="K21" t="s">
        <v>30</v>
      </c>
      <c r="L21" t="s">
        <v>23</v>
      </c>
      <c r="M21">
        <v>20</v>
      </c>
      <c r="N21" t="s">
        <v>31</v>
      </c>
      <c r="O21" t="s">
        <v>32</v>
      </c>
      <c r="P21">
        <v>0</v>
      </c>
      <c r="Q21">
        <v>0</v>
      </c>
      <c r="R21">
        <v>0</v>
      </c>
      <c r="S21">
        <v>0</v>
      </c>
      <c r="T21">
        <v>0</v>
      </c>
      <c r="U21">
        <v>0</v>
      </c>
      <c r="V21">
        <v>0</v>
      </c>
      <c r="W21">
        <v>0</v>
      </c>
      <c r="X21">
        <v>1</v>
      </c>
    </row>
    <row r="22" spans="1:24" x14ac:dyDescent="0.3">
      <c r="A22" t="s">
        <v>88</v>
      </c>
      <c r="B22" s="2">
        <v>46275</v>
      </c>
      <c r="C22" s="2">
        <v>46279</v>
      </c>
      <c r="E22" t="s">
        <v>89</v>
      </c>
      <c r="F22" t="s">
        <v>27</v>
      </c>
      <c r="G22">
        <v>5000</v>
      </c>
      <c r="H22">
        <v>101.92</v>
      </c>
      <c r="I22" t="s">
        <v>36</v>
      </c>
      <c r="J22" t="s">
        <v>37</v>
      </c>
      <c r="K22" t="s">
        <v>38</v>
      </c>
      <c r="L22" t="s">
        <v>15</v>
      </c>
      <c r="M22">
        <v>20</v>
      </c>
      <c r="N22" t="s">
        <v>31</v>
      </c>
      <c r="O22" t="s">
        <v>32</v>
      </c>
      <c r="P22">
        <v>1</v>
      </c>
      <c r="Q22">
        <v>0</v>
      </c>
      <c r="R22">
        <v>0</v>
      </c>
      <c r="S22">
        <v>0</v>
      </c>
      <c r="T22">
        <v>0</v>
      </c>
      <c r="U22">
        <v>0</v>
      </c>
      <c r="V22">
        <v>0</v>
      </c>
      <c r="W22">
        <v>0</v>
      </c>
      <c r="X22">
        <v>0</v>
      </c>
    </row>
    <row r="23" spans="1:24" x14ac:dyDescent="0.3">
      <c r="A23" t="s">
        <v>90</v>
      </c>
      <c r="B23" s="2">
        <v>46275</v>
      </c>
      <c r="C23" s="2">
        <v>46279</v>
      </c>
      <c r="D23" t="s">
        <v>91</v>
      </c>
      <c r="E23" t="s">
        <v>92</v>
      </c>
      <c r="F23" t="s">
        <v>27</v>
      </c>
      <c r="G23">
        <v>22300</v>
      </c>
      <c r="H23">
        <v>117.46</v>
      </c>
      <c r="I23" t="s">
        <v>28</v>
      </c>
      <c r="J23" t="s">
        <v>60</v>
      </c>
      <c r="K23" t="s">
        <v>38</v>
      </c>
      <c r="L23" t="s">
        <v>16</v>
      </c>
      <c r="M23">
        <v>20</v>
      </c>
      <c r="N23" t="s">
        <v>31</v>
      </c>
      <c r="O23" t="s">
        <v>32</v>
      </c>
      <c r="P23">
        <v>0</v>
      </c>
      <c r="Q23">
        <v>1</v>
      </c>
      <c r="R23">
        <v>0</v>
      </c>
      <c r="S23">
        <v>0</v>
      </c>
      <c r="T23">
        <v>0</v>
      </c>
      <c r="U23">
        <v>0</v>
      </c>
      <c r="V23">
        <v>0</v>
      </c>
      <c r="W23">
        <v>0</v>
      </c>
      <c r="X23">
        <v>0</v>
      </c>
    </row>
    <row r="24" spans="1:24" x14ac:dyDescent="0.3">
      <c r="A24" t="s">
        <v>93</v>
      </c>
      <c r="B24" s="2">
        <v>46275</v>
      </c>
      <c r="C24" s="2">
        <v>46279</v>
      </c>
      <c r="D24" t="s">
        <v>94</v>
      </c>
      <c r="E24" t="s">
        <v>95</v>
      </c>
      <c r="F24" t="s">
        <v>27</v>
      </c>
      <c r="G24">
        <v>20000</v>
      </c>
      <c r="H24">
        <v>98.68</v>
      </c>
      <c r="I24" t="s">
        <v>28</v>
      </c>
      <c r="J24" t="s">
        <v>37</v>
      </c>
      <c r="K24" t="s">
        <v>30</v>
      </c>
      <c r="L24" t="s">
        <v>16</v>
      </c>
      <c r="M24">
        <v>20</v>
      </c>
      <c r="N24" t="s">
        <v>31</v>
      </c>
      <c r="O24" t="s">
        <v>32</v>
      </c>
      <c r="P24">
        <v>0</v>
      </c>
      <c r="Q24">
        <v>1</v>
      </c>
      <c r="R24">
        <v>0</v>
      </c>
      <c r="S24">
        <v>0</v>
      </c>
      <c r="T24">
        <v>0</v>
      </c>
      <c r="U24">
        <v>0</v>
      </c>
      <c r="V24">
        <v>0</v>
      </c>
      <c r="W24">
        <v>0</v>
      </c>
      <c r="X24">
        <v>0</v>
      </c>
    </row>
    <row r="25" spans="1:24" x14ac:dyDescent="0.3">
      <c r="A25" t="s">
        <v>96</v>
      </c>
      <c r="B25" s="2">
        <v>46275</v>
      </c>
      <c r="C25" s="2">
        <v>46279</v>
      </c>
      <c r="D25" t="s">
        <v>55</v>
      </c>
      <c r="E25" t="s">
        <v>97</v>
      </c>
      <c r="F25" t="s">
        <v>46</v>
      </c>
      <c r="G25">
        <v>7000</v>
      </c>
      <c r="H25">
        <v>104.07</v>
      </c>
      <c r="I25" t="s">
        <v>42</v>
      </c>
      <c r="J25" t="s">
        <v>29</v>
      </c>
      <c r="K25" t="s">
        <v>38</v>
      </c>
      <c r="L25" t="s">
        <v>17</v>
      </c>
      <c r="M25">
        <v>20</v>
      </c>
      <c r="N25" t="s">
        <v>31</v>
      </c>
      <c r="O25" t="s">
        <v>32</v>
      </c>
      <c r="P25">
        <v>0</v>
      </c>
      <c r="Q25">
        <v>0</v>
      </c>
      <c r="R25">
        <v>1</v>
      </c>
      <c r="S25">
        <v>0</v>
      </c>
      <c r="T25">
        <v>0</v>
      </c>
      <c r="U25">
        <v>0</v>
      </c>
      <c r="V25">
        <v>0</v>
      </c>
      <c r="W25">
        <v>0</v>
      </c>
      <c r="X25">
        <v>0</v>
      </c>
    </row>
    <row r="26" spans="1:24" x14ac:dyDescent="0.3">
      <c r="A26" t="s">
        <v>98</v>
      </c>
      <c r="B26" s="2">
        <v>46275</v>
      </c>
      <c r="C26" s="2">
        <v>46274</v>
      </c>
      <c r="D26" t="s">
        <v>99</v>
      </c>
      <c r="E26" t="s">
        <v>45</v>
      </c>
      <c r="F26" t="s">
        <v>27</v>
      </c>
      <c r="G26">
        <v>17800</v>
      </c>
      <c r="H26">
        <v>96.63</v>
      </c>
      <c r="I26" t="s">
        <v>36</v>
      </c>
      <c r="J26" t="s">
        <v>29</v>
      </c>
      <c r="K26" t="s">
        <v>30</v>
      </c>
      <c r="L26" t="s">
        <v>18</v>
      </c>
      <c r="M26">
        <v>20</v>
      </c>
      <c r="N26" t="s">
        <v>31</v>
      </c>
      <c r="O26" t="s">
        <v>32</v>
      </c>
      <c r="P26">
        <v>0</v>
      </c>
      <c r="Q26">
        <v>0</v>
      </c>
      <c r="R26">
        <v>0</v>
      </c>
      <c r="S26">
        <v>1</v>
      </c>
      <c r="T26">
        <v>0</v>
      </c>
      <c r="U26">
        <v>0</v>
      </c>
      <c r="V26">
        <v>0</v>
      </c>
      <c r="W26">
        <v>0</v>
      </c>
      <c r="X26">
        <v>0</v>
      </c>
    </row>
    <row r="27" spans="1:24" x14ac:dyDescent="0.3">
      <c r="A27" t="s">
        <v>100</v>
      </c>
      <c r="B27" s="2">
        <v>46275</v>
      </c>
      <c r="C27" s="2">
        <v>46272</v>
      </c>
      <c r="D27" t="s">
        <v>58</v>
      </c>
      <c r="E27" t="s">
        <v>101</v>
      </c>
      <c r="F27" t="s">
        <v>27</v>
      </c>
      <c r="G27">
        <v>38800</v>
      </c>
      <c r="H27">
        <v>211.18</v>
      </c>
      <c r="I27" t="s">
        <v>28</v>
      </c>
      <c r="J27" t="s">
        <v>50</v>
      </c>
      <c r="K27" t="s">
        <v>38</v>
      </c>
      <c r="L27" t="s">
        <v>18</v>
      </c>
      <c r="M27">
        <v>20</v>
      </c>
      <c r="N27" t="s">
        <v>31</v>
      </c>
      <c r="O27" t="s">
        <v>32</v>
      </c>
      <c r="P27">
        <v>0</v>
      </c>
      <c r="Q27">
        <v>0</v>
      </c>
      <c r="R27">
        <v>0</v>
      </c>
      <c r="S27">
        <v>1</v>
      </c>
      <c r="T27">
        <v>0</v>
      </c>
      <c r="U27">
        <v>0</v>
      </c>
      <c r="V27">
        <v>0</v>
      </c>
      <c r="W27">
        <v>0</v>
      </c>
      <c r="X27">
        <v>0</v>
      </c>
    </row>
    <row r="28" spans="1:24" x14ac:dyDescent="0.3">
      <c r="A28" t="s">
        <v>102</v>
      </c>
      <c r="B28" s="2">
        <v>46275</v>
      </c>
      <c r="C28" s="2">
        <v>46273</v>
      </c>
      <c r="D28" t="s">
        <v>80</v>
      </c>
      <c r="E28" t="s">
        <v>103</v>
      </c>
      <c r="F28" t="s">
        <v>46</v>
      </c>
      <c r="G28">
        <v>10000</v>
      </c>
      <c r="H28">
        <v>105.9</v>
      </c>
      <c r="I28" t="s">
        <v>42</v>
      </c>
      <c r="J28" t="s">
        <v>37</v>
      </c>
      <c r="K28" t="s">
        <v>38</v>
      </c>
      <c r="L28" t="s">
        <v>18</v>
      </c>
      <c r="M28">
        <v>20</v>
      </c>
      <c r="N28" t="s">
        <v>31</v>
      </c>
      <c r="O28" t="s">
        <v>32</v>
      </c>
      <c r="P28">
        <v>0</v>
      </c>
      <c r="Q28">
        <v>0</v>
      </c>
      <c r="R28">
        <v>0</v>
      </c>
      <c r="S28">
        <v>1</v>
      </c>
      <c r="T28">
        <v>0</v>
      </c>
      <c r="U28">
        <v>0</v>
      </c>
      <c r="V28">
        <v>0</v>
      </c>
      <c r="W28">
        <v>0</v>
      </c>
      <c r="X28">
        <v>0</v>
      </c>
    </row>
    <row r="29" spans="1:24" x14ac:dyDescent="0.3">
      <c r="A29" t="s">
        <v>104</v>
      </c>
      <c r="B29" s="2">
        <v>46275</v>
      </c>
      <c r="C29" s="2">
        <v>46279</v>
      </c>
      <c r="D29" t="s">
        <v>105</v>
      </c>
      <c r="E29" t="s">
        <v>85</v>
      </c>
      <c r="F29" t="s">
        <v>46</v>
      </c>
      <c r="G29">
        <v>116800</v>
      </c>
      <c r="H29">
        <v>89.05</v>
      </c>
      <c r="I29" t="s">
        <v>42</v>
      </c>
      <c r="J29" t="s">
        <v>50</v>
      </c>
      <c r="K29" t="s">
        <v>38</v>
      </c>
      <c r="L29" t="s">
        <v>20</v>
      </c>
      <c r="M29">
        <v>20</v>
      </c>
      <c r="N29" t="s">
        <v>31</v>
      </c>
      <c r="O29" t="s">
        <v>32</v>
      </c>
      <c r="P29">
        <v>0</v>
      </c>
      <c r="Q29">
        <v>0</v>
      </c>
      <c r="R29">
        <v>0</v>
      </c>
      <c r="S29">
        <v>0</v>
      </c>
      <c r="T29">
        <v>0</v>
      </c>
      <c r="U29">
        <v>1</v>
      </c>
      <c r="V29">
        <v>0</v>
      </c>
      <c r="W29">
        <v>0</v>
      </c>
      <c r="X29">
        <v>0</v>
      </c>
    </row>
    <row r="30" spans="1:24" x14ac:dyDescent="0.3">
      <c r="A30" t="s">
        <v>106</v>
      </c>
      <c r="B30" s="2">
        <v>46275</v>
      </c>
      <c r="C30" s="2">
        <v>46279</v>
      </c>
      <c r="D30" t="s">
        <v>107</v>
      </c>
      <c r="E30" t="s">
        <v>49</v>
      </c>
      <c r="F30" t="s">
        <v>46</v>
      </c>
      <c r="G30">
        <v>42800</v>
      </c>
      <c r="H30">
        <v>107.46</v>
      </c>
      <c r="I30" t="s">
        <v>28</v>
      </c>
      <c r="J30" t="s">
        <v>60</v>
      </c>
      <c r="K30" t="s">
        <v>38</v>
      </c>
      <c r="L30" t="s">
        <v>20</v>
      </c>
      <c r="M30">
        <v>20</v>
      </c>
      <c r="N30" t="s">
        <v>31</v>
      </c>
      <c r="O30" t="s">
        <v>32</v>
      </c>
      <c r="P30">
        <v>0</v>
      </c>
      <c r="Q30">
        <v>0</v>
      </c>
      <c r="R30">
        <v>0</v>
      </c>
      <c r="S30">
        <v>0</v>
      </c>
      <c r="T30">
        <v>0</v>
      </c>
      <c r="U30">
        <v>1</v>
      </c>
      <c r="V30">
        <v>0</v>
      </c>
      <c r="W30">
        <v>0</v>
      </c>
      <c r="X30">
        <v>0</v>
      </c>
    </row>
    <row r="31" spans="1:24" x14ac:dyDescent="0.3">
      <c r="A31" t="s">
        <v>108</v>
      </c>
      <c r="B31" s="2">
        <v>46275</v>
      </c>
      <c r="C31" s="2">
        <v>46279</v>
      </c>
      <c r="D31" t="s">
        <v>87</v>
      </c>
      <c r="E31" t="s">
        <v>41</v>
      </c>
      <c r="F31" t="s">
        <v>27</v>
      </c>
      <c r="G31">
        <v>38100</v>
      </c>
      <c r="H31">
        <v>102.67</v>
      </c>
      <c r="I31" t="s">
        <v>42</v>
      </c>
      <c r="J31" t="s">
        <v>37</v>
      </c>
      <c r="K31" t="s">
        <v>38</v>
      </c>
      <c r="L31" t="s">
        <v>20</v>
      </c>
      <c r="M31">
        <v>20</v>
      </c>
      <c r="N31" t="s">
        <v>31</v>
      </c>
      <c r="O31" t="s">
        <v>32</v>
      </c>
      <c r="P31">
        <v>0</v>
      </c>
      <c r="Q31">
        <v>0</v>
      </c>
      <c r="R31">
        <v>0</v>
      </c>
      <c r="S31">
        <v>0</v>
      </c>
      <c r="T31">
        <v>0</v>
      </c>
      <c r="U31">
        <v>1</v>
      </c>
      <c r="V31">
        <v>0</v>
      </c>
      <c r="W31">
        <v>0</v>
      </c>
      <c r="X31">
        <v>0</v>
      </c>
    </row>
    <row r="32" spans="1:24" x14ac:dyDescent="0.3">
      <c r="A32" t="s">
        <v>109</v>
      </c>
      <c r="B32" s="2">
        <v>46275</v>
      </c>
      <c r="C32" s="2">
        <v>46279</v>
      </c>
      <c r="D32" t="s">
        <v>110</v>
      </c>
      <c r="E32" t="s">
        <v>111</v>
      </c>
      <c r="F32" t="s">
        <v>27</v>
      </c>
      <c r="G32">
        <v>45900</v>
      </c>
      <c r="H32">
        <v>104.13</v>
      </c>
      <c r="I32" t="s">
        <v>42</v>
      </c>
      <c r="J32" t="s">
        <v>37</v>
      </c>
      <c r="K32" t="s">
        <v>38</v>
      </c>
      <c r="L32" t="s">
        <v>20</v>
      </c>
      <c r="M32">
        <v>20</v>
      </c>
      <c r="N32" t="s">
        <v>31</v>
      </c>
      <c r="O32" t="s">
        <v>32</v>
      </c>
      <c r="P32">
        <v>0</v>
      </c>
      <c r="Q32">
        <v>0</v>
      </c>
      <c r="R32">
        <v>0</v>
      </c>
      <c r="S32">
        <v>0</v>
      </c>
      <c r="T32">
        <v>0</v>
      </c>
      <c r="U32">
        <v>1</v>
      </c>
      <c r="V32">
        <v>0</v>
      </c>
      <c r="W32">
        <v>0</v>
      </c>
      <c r="X32">
        <v>0</v>
      </c>
    </row>
    <row r="33" spans="1:24" x14ac:dyDescent="0.3">
      <c r="A33" t="s">
        <v>112</v>
      </c>
      <c r="B33" s="2">
        <v>46275</v>
      </c>
      <c r="C33" s="2">
        <v>46279</v>
      </c>
      <c r="D33" t="s">
        <v>113</v>
      </c>
      <c r="E33" t="s">
        <v>103</v>
      </c>
      <c r="F33" t="s">
        <v>46</v>
      </c>
      <c r="G33">
        <v>6000</v>
      </c>
      <c r="H33">
        <v>106.67</v>
      </c>
      <c r="I33" t="s">
        <v>42</v>
      </c>
      <c r="J33" t="s">
        <v>60</v>
      </c>
      <c r="K33" t="s">
        <v>38</v>
      </c>
      <c r="L33" t="s">
        <v>21</v>
      </c>
      <c r="M33">
        <v>20</v>
      </c>
      <c r="N33" t="s">
        <v>31</v>
      </c>
      <c r="O33" t="s">
        <v>32</v>
      </c>
      <c r="P33">
        <v>0</v>
      </c>
      <c r="Q33">
        <v>0</v>
      </c>
      <c r="R33">
        <v>0</v>
      </c>
      <c r="S33">
        <v>0</v>
      </c>
      <c r="T33">
        <v>0</v>
      </c>
      <c r="U33">
        <v>0</v>
      </c>
      <c r="V33">
        <v>1</v>
      </c>
      <c r="W33">
        <v>0</v>
      </c>
      <c r="X33">
        <v>0</v>
      </c>
    </row>
    <row r="34" spans="1:24" x14ac:dyDescent="0.3">
      <c r="A34" t="s">
        <v>114</v>
      </c>
      <c r="B34" s="2">
        <v>46275</v>
      </c>
      <c r="C34" s="2">
        <v>46279</v>
      </c>
      <c r="D34" t="s">
        <v>115</v>
      </c>
      <c r="E34" t="s">
        <v>116</v>
      </c>
      <c r="F34" t="s">
        <v>27</v>
      </c>
      <c r="G34">
        <v>5000</v>
      </c>
      <c r="H34">
        <v>65.2</v>
      </c>
      <c r="I34" t="s">
        <v>36</v>
      </c>
      <c r="J34" t="s">
        <v>50</v>
      </c>
      <c r="K34" t="s">
        <v>30</v>
      </c>
      <c r="L34" t="s">
        <v>21</v>
      </c>
      <c r="M34">
        <v>20</v>
      </c>
      <c r="N34" t="s">
        <v>31</v>
      </c>
      <c r="O34" t="s">
        <v>32</v>
      </c>
      <c r="P34">
        <v>0</v>
      </c>
      <c r="Q34">
        <v>0</v>
      </c>
      <c r="R34">
        <v>0</v>
      </c>
      <c r="S34">
        <v>0</v>
      </c>
      <c r="T34">
        <v>0</v>
      </c>
      <c r="U34">
        <v>0</v>
      </c>
      <c r="V34">
        <v>1</v>
      </c>
      <c r="W34">
        <v>0</v>
      </c>
      <c r="X34">
        <v>0</v>
      </c>
    </row>
    <row r="35" spans="1:24" x14ac:dyDescent="0.3">
      <c r="A35" t="s">
        <v>117</v>
      </c>
      <c r="B35" s="2">
        <v>46275</v>
      </c>
      <c r="C35" s="2">
        <v>46279</v>
      </c>
      <c r="D35" t="s">
        <v>34</v>
      </c>
      <c r="E35" t="s">
        <v>64</v>
      </c>
      <c r="F35" t="s">
        <v>46</v>
      </c>
      <c r="G35">
        <v>15000</v>
      </c>
      <c r="H35">
        <v>107.53</v>
      </c>
      <c r="I35" t="s">
        <v>28</v>
      </c>
      <c r="J35" t="s">
        <v>50</v>
      </c>
      <c r="K35" t="s">
        <v>38</v>
      </c>
      <c r="L35" t="s">
        <v>22</v>
      </c>
      <c r="M35">
        <v>20</v>
      </c>
      <c r="N35" t="s">
        <v>31</v>
      </c>
      <c r="O35" t="s">
        <v>32</v>
      </c>
      <c r="P35">
        <v>0</v>
      </c>
      <c r="Q35">
        <v>0</v>
      </c>
      <c r="R35">
        <v>0</v>
      </c>
      <c r="S35">
        <v>0</v>
      </c>
      <c r="T35">
        <v>0</v>
      </c>
      <c r="U35">
        <v>0</v>
      </c>
      <c r="V35">
        <v>0</v>
      </c>
      <c r="W35">
        <v>1</v>
      </c>
      <c r="X35">
        <v>0</v>
      </c>
    </row>
    <row r="36" spans="1:24" x14ac:dyDescent="0.3">
      <c r="A36" t="s">
        <v>79</v>
      </c>
      <c r="B36" s="2">
        <v>46275</v>
      </c>
      <c r="C36" s="2">
        <v>46279</v>
      </c>
      <c r="D36" t="s">
        <v>80</v>
      </c>
      <c r="E36" t="s">
        <v>81</v>
      </c>
      <c r="F36" t="s">
        <v>46</v>
      </c>
      <c r="G36">
        <v>18400</v>
      </c>
      <c r="H36">
        <v>187.3</v>
      </c>
      <c r="I36" t="s">
        <v>42</v>
      </c>
      <c r="J36" t="s">
        <v>60</v>
      </c>
      <c r="K36" t="s">
        <v>30</v>
      </c>
      <c r="L36" t="s">
        <v>23</v>
      </c>
      <c r="M36">
        <v>20</v>
      </c>
      <c r="N36" t="s">
        <v>31</v>
      </c>
      <c r="O36" t="s">
        <v>32</v>
      </c>
      <c r="P36">
        <v>0</v>
      </c>
      <c r="Q36">
        <v>0</v>
      </c>
      <c r="R36">
        <v>0</v>
      </c>
      <c r="S36">
        <v>0</v>
      </c>
      <c r="T36">
        <v>0</v>
      </c>
      <c r="U36">
        <v>0</v>
      </c>
      <c r="V36">
        <v>0</v>
      </c>
      <c r="W36">
        <v>0</v>
      </c>
      <c r="X36">
        <v>1</v>
      </c>
    </row>
    <row r="37" spans="1:24" x14ac:dyDescent="0.3">
      <c r="A37" t="s">
        <v>82</v>
      </c>
      <c r="B37" s="2">
        <v>46275</v>
      </c>
      <c r="C37" s="2">
        <v>46279</v>
      </c>
      <c r="D37" t="s">
        <v>25</v>
      </c>
      <c r="E37" t="s">
        <v>59</v>
      </c>
      <c r="F37" t="s">
        <v>46</v>
      </c>
      <c r="G37">
        <v>8000</v>
      </c>
      <c r="H37">
        <v>105.41</v>
      </c>
      <c r="I37" t="s">
        <v>36</v>
      </c>
      <c r="J37" t="s">
        <v>29</v>
      </c>
      <c r="K37" t="s">
        <v>30</v>
      </c>
      <c r="L37" t="s">
        <v>23</v>
      </c>
      <c r="M37">
        <v>20</v>
      </c>
      <c r="N37" t="s">
        <v>31</v>
      </c>
      <c r="O37" t="s">
        <v>32</v>
      </c>
      <c r="P37">
        <v>0</v>
      </c>
      <c r="Q37">
        <v>0</v>
      </c>
      <c r="R37">
        <v>0</v>
      </c>
      <c r="S37">
        <v>0</v>
      </c>
      <c r="T37">
        <v>0</v>
      </c>
      <c r="U37">
        <v>0</v>
      </c>
      <c r="V37">
        <v>0</v>
      </c>
      <c r="W37">
        <v>0</v>
      </c>
      <c r="X37">
        <v>1</v>
      </c>
    </row>
    <row r="38" spans="1:24" x14ac:dyDescent="0.3">
      <c r="A38" t="s">
        <v>83</v>
      </c>
      <c r="B38" s="2">
        <v>46275</v>
      </c>
      <c r="C38" s="2">
        <v>46279</v>
      </c>
      <c r="D38" t="s">
        <v>84</v>
      </c>
      <c r="E38" t="s">
        <v>85</v>
      </c>
      <c r="F38" t="s">
        <v>27</v>
      </c>
      <c r="G38">
        <v>10300</v>
      </c>
      <c r="H38">
        <v>90.78</v>
      </c>
      <c r="I38" t="s">
        <v>42</v>
      </c>
      <c r="J38" t="s">
        <v>60</v>
      </c>
      <c r="K38" t="s">
        <v>30</v>
      </c>
      <c r="L38" t="s">
        <v>23</v>
      </c>
      <c r="M38">
        <v>20</v>
      </c>
      <c r="N38" t="s">
        <v>31</v>
      </c>
      <c r="O38" t="s">
        <v>32</v>
      </c>
      <c r="P38">
        <v>0</v>
      </c>
      <c r="Q38">
        <v>0</v>
      </c>
      <c r="R38">
        <v>0</v>
      </c>
      <c r="S38">
        <v>0</v>
      </c>
      <c r="T38">
        <v>0</v>
      </c>
      <c r="U38">
        <v>0</v>
      </c>
      <c r="V38">
        <v>0</v>
      </c>
      <c r="W38">
        <v>0</v>
      </c>
      <c r="X38">
        <v>1</v>
      </c>
    </row>
    <row r="39" spans="1:24" x14ac:dyDescent="0.3">
      <c r="A39" t="s">
        <v>86</v>
      </c>
      <c r="B39" s="2">
        <v>46275</v>
      </c>
      <c r="C39" s="2">
        <v>46279</v>
      </c>
      <c r="D39" t="s">
        <v>87</v>
      </c>
      <c r="E39" t="s">
        <v>85</v>
      </c>
      <c r="F39" t="s">
        <v>27</v>
      </c>
      <c r="G39">
        <v>32200</v>
      </c>
      <c r="H39">
        <v>88.02</v>
      </c>
      <c r="I39" t="s">
        <v>42</v>
      </c>
      <c r="J39" t="s">
        <v>37</v>
      </c>
      <c r="K39" t="s">
        <v>30</v>
      </c>
      <c r="L39" t="s">
        <v>23</v>
      </c>
      <c r="M39">
        <v>20</v>
      </c>
      <c r="N39" t="s">
        <v>31</v>
      </c>
      <c r="O39" t="s">
        <v>32</v>
      </c>
      <c r="P39">
        <v>0</v>
      </c>
      <c r="Q39">
        <v>0</v>
      </c>
      <c r="R39">
        <v>0</v>
      </c>
      <c r="S39">
        <v>0</v>
      </c>
      <c r="T39">
        <v>0</v>
      </c>
      <c r="U39">
        <v>0</v>
      </c>
      <c r="V39">
        <v>0</v>
      </c>
      <c r="W39">
        <v>0</v>
      </c>
      <c r="X39">
        <v>1</v>
      </c>
    </row>
    <row r="40" spans="1:24" x14ac:dyDescent="0.3">
      <c r="A40" t="s">
        <v>118</v>
      </c>
      <c r="B40" s="2">
        <v>46276</v>
      </c>
      <c r="C40" s="2">
        <v>46280</v>
      </c>
      <c r="E40" t="s">
        <v>74</v>
      </c>
      <c r="F40" t="s">
        <v>27</v>
      </c>
      <c r="G40">
        <v>8000</v>
      </c>
      <c r="H40">
        <v>96.55</v>
      </c>
      <c r="I40" t="s">
        <v>28</v>
      </c>
      <c r="J40" t="s">
        <v>119</v>
      </c>
      <c r="K40" t="s">
        <v>38</v>
      </c>
      <c r="L40" t="s">
        <v>15</v>
      </c>
      <c r="M40">
        <v>19</v>
      </c>
      <c r="N40" t="s">
        <v>31</v>
      </c>
      <c r="O40" t="s">
        <v>32</v>
      </c>
      <c r="P40">
        <v>1</v>
      </c>
      <c r="Q40">
        <v>0</v>
      </c>
      <c r="R40">
        <v>0</v>
      </c>
      <c r="S40">
        <v>0</v>
      </c>
      <c r="T40">
        <v>0</v>
      </c>
      <c r="U40">
        <v>0</v>
      </c>
      <c r="V40">
        <v>0</v>
      </c>
      <c r="W40">
        <v>0</v>
      </c>
      <c r="X40">
        <v>0</v>
      </c>
    </row>
    <row r="41" spans="1:24" x14ac:dyDescent="0.3">
      <c r="A41" t="s">
        <v>120</v>
      </c>
      <c r="B41" s="2">
        <v>46276</v>
      </c>
      <c r="D41" t="s">
        <v>58</v>
      </c>
      <c r="E41" t="s">
        <v>103</v>
      </c>
      <c r="F41" t="s">
        <v>46</v>
      </c>
      <c r="G41">
        <v>5000</v>
      </c>
      <c r="H41">
        <v>102.81</v>
      </c>
      <c r="I41" t="s">
        <v>42</v>
      </c>
      <c r="J41" t="s">
        <v>29</v>
      </c>
      <c r="K41" t="s">
        <v>38</v>
      </c>
      <c r="L41" t="s">
        <v>15</v>
      </c>
      <c r="M41">
        <v>19</v>
      </c>
      <c r="N41" t="s">
        <v>31</v>
      </c>
      <c r="O41" t="s">
        <v>32</v>
      </c>
      <c r="P41">
        <v>1</v>
      </c>
      <c r="Q41">
        <v>0</v>
      </c>
      <c r="R41">
        <v>0</v>
      </c>
      <c r="S41">
        <v>0</v>
      </c>
      <c r="T41">
        <v>0</v>
      </c>
      <c r="U41">
        <v>0</v>
      </c>
      <c r="V41">
        <v>0</v>
      </c>
      <c r="W41">
        <v>0</v>
      </c>
      <c r="X41">
        <v>0</v>
      </c>
    </row>
    <row r="42" spans="1:24" x14ac:dyDescent="0.3">
      <c r="A42" t="s">
        <v>121</v>
      </c>
      <c r="B42" s="2">
        <v>46276</v>
      </c>
      <c r="C42" s="2">
        <v>46280</v>
      </c>
      <c r="D42" t="s">
        <v>122</v>
      </c>
      <c r="E42" t="s">
        <v>123</v>
      </c>
      <c r="F42" t="s">
        <v>46</v>
      </c>
      <c r="G42">
        <v>11900</v>
      </c>
      <c r="H42">
        <v>90.27</v>
      </c>
      <c r="I42" t="s">
        <v>36</v>
      </c>
      <c r="J42" t="s">
        <v>29</v>
      </c>
      <c r="K42" t="s">
        <v>30</v>
      </c>
      <c r="L42" t="s">
        <v>16</v>
      </c>
      <c r="M42">
        <v>19</v>
      </c>
      <c r="N42" t="s">
        <v>31</v>
      </c>
      <c r="O42" t="s">
        <v>32</v>
      </c>
      <c r="P42">
        <v>0</v>
      </c>
      <c r="Q42">
        <v>1</v>
      </c>
      <c r="R42">
        <v>0</v>
      </c>
      <c r="S42">
        <v>0</v>
      </c>
      <c r="T42">
        <v>0</v>
      </c>
      <c r="U42">
        <v>0</v>
      </c>
      <c r="V42">
        <v>0</v>
      </c>
      <c r="W42">
        <v>0</v>
      </c>
      <c r="X42">
        <v>0</v>
      </c>
    </row>
    <row r="43" spans="1:24" x14ac:dyDescent="0.3">
      <c r="A43" t="s">
        <v>124</v>
      </c>
      <c r="B43" s="2">
        <v>46276</v>
      </c>
      <c r="C43" s="2">
        <v>46275</v>
      </c>
      <c r="D43" t="s">
        <v>99</v>
      </c>
      <c r="E43" t="s">
        <v>64</v>
      </c>
      <c r="F43" t="s">
        <v>27</v>
      </c>
      <c r="G43">
        <v>8000</v>
      </c>
      <c r="H43">
        <v>104.62</v>
      </c>
      <c r="I43" t="s">
        <v>42</v>
      </c>
      <c r="J43" t="s">
        <v>50</v>
      </c>
      <c r="K43" t="s">
        <v>38</v>
      </c>
      <c r="L43" t="s">
        <v>18</v>
      </c>
      <c r="M43">
        <v>19</v>
      </c>
      <c r="N43" t="s">
        <v>31</v>
      </c>
      <c r="O43" t="s">
        <v>32</v>
      </c>
      <c r="P43">
        <v>0</v>
      </c>
      <c r="Q43">
        <v>0</v>
      </c>
      <c r="R43">
        <v>0</v>
      </c>
      <c r="S43">
        <v>1</v>
      </c>
      <c r="T43">
        <v>0</v>
      </c>
      <c r="U43">
        <v>0</v>
      </c>
      <c r="V43">
        <v>0</v>
      </c>
      <c r="W43">
        <v>0</v>
      </c>
      <c r="X43">
        <v>0</v>
      </c>
    </row>
    <row r="44" spans="1:24" x14ac:dyDescent="0.3">
      <c r="A44" t="s">
        <v>125</v>
      </c>
      <c r="B44" s="2">
        <v>46276</v>
      </c>
      <c r="C44" s="2">
        <v>46273</v>
      </c>
      <c r="D44" t="s">
        <v>126</v>
      </c>
      <c r="E44" t="s">
        <v>127</v>
      </c>
      <c r="F44" t="s">
        <v>46</v>
      </c>
      <c r="G44">
        <v>5000</v>
      </c>
      <c r="H44">
        <v>102.57</v>
      </c>
      <c r="I44" t="s">
        <v>36</v>
      </c>
      <c r="J44" t="s">
        <v>119</v>
      </c>
      <c r="K44" t="s">
        <v>38</v>
      </c>
      <c r="L44" t="s">
        <v>18</v>
      </c>
      <c r="M44">
        <v>19</v>
      </c>
      <c r="N44" t="s">
        <v>31</v>
      </c>
      <c r="O44" t="s">
        <v>32</v>
      </c>
      <c r="P44">
        <v>0</v>
      </c>
      <c r="Q44">
        <v>0</v>
      </c>
      <c r="R44">
        <v>0</v>
      </c>
      <c r="S44">
        <v>1</v>
      </c>
      <c r="T44">
        <v>0</v>
      </c>
      <c r="U44">
        <v>0</v>
      </c>
      <c r="V44">
        <v>0</v>
      </c>
      <c r="W44">
        <v>0</v>
      </c>
      <c r="X44">
        <v>0</v>
      </c>
    </row>
    <row r="45" spans="1:24" x14ac:dyDescent="0.3">
      <c r="A45" t="s">
        <v>128</v>
      </c>
      <c r="B45" s="2">
        <v>46276</v>
      </c>
      <c r="C45" s="2">
        <v>46274</v>
      </c>
      <c r="D45" t="s">
        <v>80</v>
      </c>
      <c r="E45" t="s">
        <v>26</v>
      </c>
      <c r="F45" t="s">
        <v>27</v>
      </c>
      <c r="G45">
        <v>7000</v>
      </c>
      <c r="H45">
        <v>101.42</v>
      </c>
      <c r="I45" t="s">
        <v>28</v>
      </c>
      <c r="J45" t="s">
        <v>119</v>
      </c>
      <c r="K45" t="s">
        <v>38</v>
      </c>
      <c r="L45" t="s">
        <v>18</v>
      </c>
      <c r="M45">
        <v>19</v>
      </c>
      <c r="N45" t="s">
        <v>31</v>
      </c>
      <c r="O45" t="s">
        <v>32</v>
      </c>
      <c r="P45">
        <v>0</v>
      </c>
      <c r="Q45">
        <v>0</v>
      </c>
      <c r="R45">
        <v>0</v>
      </c>
      <c r="S45">
        <v>1</v>
      </c>
      <c r="T45">
        <v>0</v>
      </c>
      <c r="U45">
        <v>0</v>
      </c>
      <c r="V45">
        <v>0</v>
      </c>
      <c r="W45">
        <v>0</v>
      </c>
      <c r="X45">
        <v>0</v>
      </c>
    </row>
    <row r="46" spans="1:24" x14ac:dyDescent="0.3">
      <c r="A46" t="s">
        <v>129</v>
      </c>
      <c r="B46" s="2">
        <v>46276</v>
      </c>
      <c r="C46" s="2">
        <v>46277</v>
      </c>
      <c r="D46" t="s">
        <v>71</v>
      </c>
      <c r="E46" t="s">
        <v>103</v>
      </c>
      <c r="F46" t="s">
        <v>27</v>
      </c>
      <c r="G46">
        <v>5000</v>
      </c>
      <c r="H46">
        <v>107.2</v>
      </c>
      <c r="I46" t="s">
        <v>42</v>
      </c>
      <c r="J46" t="s">
        <v>50</v>
      </c>
      <c r="K46" t="s">
        <v>30</v>
      </c>
      <c r="L46" t="s">
        <v>19</v>
      </c>
      <c r="M46">
        <v>19</v>
      </c>
      <c r="N46" t="s">
        <v>31</v>
      </c>
      <c r="O46" t="s">
        <v>32</v>
      </c>
      <c r="P46">
        <v>0</v>
      </c>
      <c r="Q46">
        <v>0</v>
      </c>
      <c r="R46">
        <v>0</v>
      </c>
      <c r="S46">
        <v>0</v>
      </c>
      <c r="T46">
        <v>1</v>
      </c>
      <c r="U46">
        <v>0</v>
      </c>
      <c r="V46">
        <v>0</v>
      </c>
      <c r="W46">
        <v>0</v>
      </c>
      <c r="X46">
        <v>0</v>
      </c>
    </row>
    <row r="47" spans="1:24" x14ac:dyDescent="0.3">
      <c r="A47" t="s">
        <v>130</v>
      </c>
      <c r="B47" s="2">
        <v>46276</v>
      </c>
      <c r="C47" s="2">
        <v>46280</v>
      </c>
      <c r="D47" t="s">
        <v>55</v>
      </c>
      <c r="E47" t="s">
        <v>103</v>
      </c>
      <c r="F47" t="s">
        <v>46</v>
      </c>
      <c r="G47">
        <v>35100</v>
      </c>
      <c r="H47">
        <v>102.26</v>
      </c>
      <c r="I47" t="s">
        <v>42</v>
      </c>
      <c r="J47" t="s">
        <v>50</v>
      </c>
      <c r="K47" t="s">
        <v>30</v>
      </c>
      <c r="L47" t="s">
        <v>20</v>
      </c>
      <c r="M47">
        <v>19</v>
      </c>
      <c r="N47" t="s">
        <v>31</v>
      </c>
      <c r="O47" t="s">
        <v>32</v>
      </c>
      <c r="P47">
        <v>0</v>
      </c>
      <c r="Q47">
        <v>0</v>
      </c>
      <c r="R47">
        <v>0</v>
      </c>
      <c r="S47">
        <v>0</v>
      </c>
      <c r="T47">
        <v>0</v>
      </c>
      <c r="U47">
        <v>1</v>
      </c>
      <c r="V47">
        <v>0</v>
      </c>
      <c r="W47">
        <v>0</v>
      </c>
      <c r="X47">
        <v>0</v>
      </c>
    </row>
    <row r="48" spans="1:24" x14ac:dyDescent="0.3">
      <c r="A48" t="s">
        <v>131</v>
      </c>
      <c r="B48" s="2">
        <v>46276</v>
      </c>
      <c r="C48" s="2">
        <v>46280</v>
      </c>
      <c r="D48" t="s">
        <v>132</v>
      </c>
      <c r="E48" t="s">
        <v>123</v>
      </c>
      <c r="F48" t="s">
        <v>27</v>
      </c>
      <c r="G48">
        <v>76900</v>
      </c>
      <c r="H48">
        <v>90.77</v>
      </c>
      <c r="I48" t="s">
        <v>36</v>
      </c>
      <c r="J48" t="s">
        <v>60</v>
      </c>
      <c r="K48" t="s">
        <v>38</v>
      </c>
      <c r="L48" t="s">
        <v>20</v>
      </c>
      <c r="M48">
        <v>19</v>
      </c>
      <c r="N48" t="s">
        <v>31</v>
      </c>
      <c r="O48" t="s">
        <v>32</v>
      </c>
      <c r="P48">
        <v>0</v>
      </c>
      <c r="Q48">
        <v>0</v>
      </c>
      <c r="R48">
        <v>0</v>
      </c>
      <c r="S48">
        <v>0</v>
      </c>
      <c r="T48">
        <v>0</v>
      </c>
      <c r="U48">
        <v>1</v>
      </c>
      <c r="V48">
        <v>0</v>
      </c>
      <c r="W48">
        <v>0</v>
      </c>
      <c r="X48">
        <v>0</v>
      </c>
    </row>
    <row r="49" spans="1:24" x14ac:dyDescent="0.3">
      <c r="A49" t="s">
        <v>133</v>
      </c>
      <c r="B49" s="2">
        <v>46276</v>
      </c>
      <c r="C49" s="2">
        <v>46280</v>
      </c>
      <c r="D49" t="s">
        <v>134</v>
      </c>
      <c r="E49" t="s">
        <v>95</v>
      </c>
      <c r="F49" t="s">
        <v>27</v>
      </c>
      <c r="G49">
        <v>53600</v>
      </c>
      <c r="H49">
        <v>101.27</v>
      </c>
      <c r="I49" t="s">
        <v>28</v>
      </c>
      <c r="J49" t="s">
        <v>37</v>
      </c>
      <c r="K49" t="s">
        <v>30</v>
      </c>
      <c r="L49" t="s">
        <v>20</v>
      </c>
      <c r="M49">
        <v>19</v>
      </c>
      <c r="N49" t="s">
        <v>31</v>
      </c>
      <c r="O49" t="s">
        <v>32</v>
      </c>
      <c r="P49">
        <v>0</v>
      </c>
      <c r="Q49">
        <v>0</v>
      </c>
      <c r="R49">
        <v>0</v>
      </c>
      <c r="S49">
        <v>0</v>
      </c>
      <c r="T49">
        <v>0</v>
      </c>
      <c r="U49">
        <v>1</v>
      </c>
      <c r="V49">
        <v>0</v>
      </c>
      <c r="W49">
        <v>0</v>
      </c>
      <c r="X49">
        <v>0</v>
      </c>
    </row>
    <row r="50" spans="1:24" x14ac:dyDescent="0.3">
      <c r="A50" t="s">
        <v>135</v>
      </c>
      <c r="B50" s="2">
        <v>46276</v>
      </c>
      <c r="C50" s="2">
        <v>46280</v>
      </c>
      <c r="D50" t="s">
        <v>126</v>
      </c>
      <c r="E50" t="s">
        <v>116</v>
      </c>
      <c r="F50" t="s">
        <v>27</v>
      </c>
      <c r="G50">
        <v>146700</v>
      </c>
      <c r="H50">
        <v>63.99</v>
      </c>
      <c r="I50" t="s">
        <v>36</v>
      </c>
      <c r="J50" t="s">
        <v>29</v>
      </c>
      <c r="K50" t="s">
        <v>30</v>
      </c>
      <c r="L50" t="s">
        <v>20</v>
      </c>
      <c r="M50">
        <v>19</v>
      </c>
      <c r="N50" t="s">
        <v>31</v>
      </c>
      <c r="O50" t="s">
        <v>32</v>
      </c>
      <c r="P50">
        <v>0</v>
      </c>
      <c r="Q50">
        <v>0</v>
      </c>
      <c r="R50">
        <v>0</v>
      </c>
      <c r="S50">
        <v>0</v>
      </c>
      <c r="T50">
        <v>0</v>
      </c>
      <c r="U50">
        <v>1</v>
      </c>
      <c r="V50">
        <v>0</v>
      </c>
      <c r="W50">
        <v>0</v>
      </c>
      <c r="X50">
        <v>0</v>
      </c>
    </row>
    <row r="51" spans="1:24" x14ac:dyDescent="0.3">
      <c r="A51" t="s">
        <v>136</v>
      </c>
      <c r="B51" s="2">
        <v>46276</v>
      </c>
      <c r="C51" s="2">
        <v>46280</v>
      </c>
      <c r="D51" t="s">
        <v>113</v>
      </c>
      <c r="E51" t="s">
        <v>85</v>
      </c>
      <c r="F51" t="s">
        <v>46</v>
      </c>
      <c r="G51">
        <v>32400</v>
      </c>
      <c r="H51">
        <v>88.07</v>
      </c>
      <c r="I51" t="s">
        <v>42</v>
      </c>
      <c r="J51" t="s">
        <v>50</v>
      </c>
      <c r="K51" t="s">
        <v>30</v>
      </c>
      <c r="L51" t="s">
        <v>21</v>
      </c>
      <c r="M51">
        <v>19</v>
      </c>
      <c r="N51" t="s">
        <v>31</v>
      </c>
      <c r="O51" t="s">
        <v>32</v>
      </c>
      <c r="P51">
        <v>0</v>
      </c>
      <c r="Q51">
        <v>0</v>
      </c>
      <c r="R51">
        <v>0</v>
      </c>
      <c r="S51">
        <v>0</v>
      </c>
      <c r="T51">
        <v>0</v>
      </c>
      <c r="U51">
        <v>0</v>
      </c>
      <c r="V51">
        <v>1</v>
      </c>
      <c r="W51">
        <v>0</v>
      </c>
      <c r="X51">
        <v>0</v>
      </c>
    </row>
    <row r="52" spans="1:24" x14ac:dyDescent="0.3">
      <c r="A52" t="s">
        <v>137</v>
      </c>
      <c r="B52" s="2">
        <v>46279</v>
      </c>
      <c r="C52" s="2">
        <v>46281</v>
      </c>
      <c r="D52" t="s">
        <v>138</v>
      </c>
      <c r="E52" t="s">
        <v>59</v>
      </c>
      <c r="F52" t="s">
        <v>27</v>
      </c>
      <c r="G52">
        <v>1000</v>
      </c>
      <c r="H52">
        <v>100.99</v>
      </c>
      <c r="I52" t="s">
        <v>36</v>
      </c>
      <c r="J52" t="s">
        <v>50</v>
      </c>
      <c r="K52" t="s">
        <v>30</v>
      </c>
      <c r="L52" t="s">
        <v>23</v>
      </c>
      <c r="M52">
        <v>16</v>
      </c>
      <c r="N52" t="s">
        <v>31</v>
      </c>
      <c r="O52" t="s">
        <v>32</v>
      </c>
      <c r="P52">
        <v>0</v>
      </c>
      <c r="Q52">
        <v>0</v>
      </c>
      <c r="R52">
        <v>0</v>
      </c>
      <c r="S52">
        <v>0</v>
      </c>
      <c r="T52">
        <v>0</v>
      </c>
      <c r="U52">
        <v>0</v>
      </c>
      <c r="V52">
        <v>0</v>
      </c>
      <c r="W52">
        <v>0</v>
      </c>
      <c r="X52">
        <v>1</v>
      </c>
    </row>
    <row r="53" spans="1:24" x14ac:dyDescent="0.3">
      <c r="A53" t="s">
        <v>139</v>
      </c>
      <c r="B53" s="2">
        <v>46279</v>
      </c>
      <c r="C53" s="2">
        <v>46281</v>
      </c>
      <c r="D53" t="s">
        <v>107</v>
      </c>
      <c r="E53" t="s">
        <v>140</v>
      </c>
      <c r="F53" t="s">
        <v>46</v>
      </c>
      <c r="G53">
        <v>13000</v>
      </c>
      <c r="I53" t="s">
        <v>36</v>
      </c>
      <c r="J53" t="s">
        <v>60</v>
      </c>
      <c r="K53" t="s">
        <v>38</v>
      </c>
      <c r="L53" t="s">
        <v>15</v>
      </c>
      <c r="M53">
        <v>16</v>
      </c>
      <c r="N53" t="s">
        <v>31</v>
      </c>
      <c r="O53" t="s">
        <v>32</v>
      </c>
      <c r="P53">
        <v>1</v>
      </c>
      <c r="Q53">
        <v>0</v>
      </c>
      <c r="R53">
        <v>0</v>
      </c>
      <c r="S53">
        <v>0</v>
      </c>
      <c r="T53">
        <v>0</v>
      </c>
      <c r="U53">
        <v>0</v>
      </c>
      <c r="V53">
        <v>0</v>
      </c>
      <c r="W53">
        <v>0</v>
      </c>
      <c r="X53">
        <v>0</v>
      </c>
    </row>
    <row r="54" spans="1:24" x14ac:dyDescent="0.3">
      <c r="A54" t="s">
        <v>141</v>
      </c>
      <c r="B54" s="2">
        <v>46279</v>
      </c>
      <c r="C54" s="2">
        <v>46281</v>
      </c>
      <c r="E54" t="s">
        <v>103</v>
      </c>
      <c r="F54" t="s">
        <v>46</v>
      </c>
      <c r="G54">
        <v>15000</v>
      </c>
      <c r="H54">
        <v>105.92</v>
      </c>
      <c r="I54" t="s">
        <v>42</v>
      </c>
      <c r="J54" t="s">
        <v>29</v>
      </c>
      <c r="K54" t="s">
        <v>38</v>
      </c>
      <c r="L54" t="s">
        <v>15</v>
      </c>
      <c r="M54">
        <v>16</v>
      </c>
      <c r="N54" t="s">
        <v>31</v>
      </c>
      <c r="O54" t="s">
        <v>32</v>
      </c>
      <c r="P54">
        <v>1</v>
      </c>
      <c r="Q54">
        <v>0</v>
      </c>
      <c r="R54">
        <v>0</v>
      </c>
      <c r="S54">
        <v>0</v>
      </c>
      <c r="T54">
        <v>0</v>
      </c>
      <c r="U54">
        <v>0</v>
      </c>
      <c r="V54">
        <v>0</v>
      </c>
      <c r="W54">
        <v>0</v>
      </c>
      <c r="X54">
        <v>0</v>
      </c>
    </row>
    <row r="55" spans="1:24" x14ac:dyDescent="0.3">
      <c r="A55" t="s">
        <v>142</v>
      </c>
      <c r="B55" s="2">
        <v>46279</v>
      </c>
      <c r="C55" s="2">
        <v>46281</v>
      </c>
      <c r="D55" t="s">
        <v>91</v>
      </c>
      <c r="E55" t="s">
        <v>140</v>
      </c>
      <c r="F55" t="s">
        <v>27</v>
      </c>
      <c r="G55">
        <v>16000</v>
      </c>
      <c r="H55">
        <v>108.2</v>
      </c>
      <c r="I55" t="s">
        <v>36</v>
      </c>
      <c r="J55" t="s">
        <v>37</v>
      </c>
      <c r="K55" t="s">
        <v>38</v>
      </c>
      <c r="L55" t="s">
        <v>16</v>
      </c>
      <c r="M55">
        <v>16</v>
      </c>
      <c r="N55" t="s">
        <v>31</v>
      </c>
      <c r="O55" t="s">
        <v>32</v>
      </c>
      <c r="P55">
        <v>0</v>
      </c>
      <c r="Q55">
        <v>1</v>
      </c>
      <c r="R55">
        <v>0</v>
      </c>
      <c r="S55">
        <v>0</v>
      </c>
      <c r="T55">
        <v>0</v>
      </c>
      <c r="U55">
        <v>0</v>
      </c>
      <c r="V55">
        <v>0</v>
      </c>
      <c r="W55">
        <v>0</v>
      </c>
      <c r="X55">
        <v>0</v>
      </c>
    </row>
    <row r="56" spans="1:24" x14ac:dyDescent="0.3">
      <c r="A56" t="s">
        <v>143</v>
      </c>
      <c r="B56" s="2">
        <v>46279</v>
      </c>
      <c r="C56" s="2">
        <v>46281</v>
      </c>
      <c r="D56" t="s">
        <v>144</v>
      </c>
      <c r="E56" t="s">
        <v>45</v>
      </c>
      <c r="F56" t="s">
        <v>27</v>
      </c>
      <c r="G56">
        <v>37200</v>
      </c>
      <c r="H56">
        <v>100.8</v>
      </c>
      <c r="I56" t="s">
        <v>36</v>
      </c>
      <c r="J56" t="s">
        <v>60</v>
      </c>
      <c r="K56" t="s">
        <v>30</v>
      </c>
      <c r="L56" t="s">
        <v>16</v>
      </c>
      <c r="M56">
        <v>16</v>
      </c>
      <c r="N56" t="s">
        <v>31</v>
      </c>
      <c r="O56" t="s">
        <v>32</v>
      </c>
      <c r="P56">
        <v>0</v>
      </c>
      <c r="Q56">
        <v>1</v>
      </c>
      <c r="R56">
        <v>0</v>
      </c>
      <c r="S56">
        <v>0</v>
      </c>
      <c r="T56">
        <v>0</v>
      </c>
      <c r="U56">
        <v>0</v>
      </c>
      <c r="V56">
        <v>0</v>
      </c>
      <c r="W56">
        <v>0</v>
      </c>
      <c r="X56">
        <v>0</v>
      </c>
    </row>
    <row r="57" spans="1:24" x14ac:dyDescent="0.3">
      <c r="A57" t="s">
        <v>145</v>
      </c>
      <c r="B57" s="2">
        <v>46279</v>
      </c>
      <c r="C57" s="2">
        <v>46281</v>
      </c>
      <c r="D57" t="s">
        <v>146</v>
      </c>
      <c r="E57" t="s">
        <v>147</v>
      </c>
      <c r="F57" t="s">
        <v>27</v>
      </c>
      <c r="G57">
        <v>9100</v>
      </c>
      <c r="H57">
        <v>42.9</v>
      </c>
      <c r="I57" t="s">
        <v>36</v>
      </c>
      <c r="J57" t="s">
        <v>60</v>
      </c>
      <c r="K57" t="s">
        <v>30</v>
      </c>
      <c r="L57" t="s">
        <v>16</v>
      </c>
      <c r="M57">
        <v>16</v>
      </c>
      <c r="N57" t="s">
        <v>31</v>
      </c>
      <c r="O57" t="s">
        <v>32</v>
      </c>
      <c r="P57">
        <v>0</v>
      </c>
      <c r="Q57">
        <v>1</v>
      </c>
      <c r="R57">
        <v>0</v>
      </c>
      <c r="S57">
        <v>0</v>
      </c>
      <c r="T57">
        <v>0</v>
      </c>
      <c r="U57">
        <v>0</v>
      </c>
      <c r="V57">
        <v>0</v>
      </c>
      <c r="W57">
        <v>0</v>
      </c>
      <c r="X57">
        <v>0</v>
      </c>
    </row>
    <row r="58" spans="1:24" x14ac:dyDescent="0.3">
      <c r="A58" t="s">
        <v>148</v>
      </c>
      <c r="B58" s="2">
        <v>46279</v>
      </c>
      <c r="C58" s="2">
        <v>46281</v>
      </c>
      <c r="D58" t="s">
        <v>87</v>
      </c>
      <c r="E58" t="s">
        <v>149</v>
      </c>
      <c r="F58" t="s">
        <v>46</v>
      </c>
      <c r="G58">
        <v>10900</v>
      </c>
      <c r="H58">
        <v>74.099999999999994</v>
      </c>
      <c r="I58" t="s">
        <v>42</v>
      </c>
      <c r="J58" t="s">
        <v>119</v>
      </c>
      <c r="K58" t="s">
        <v>38</v>
      </c>
      <c r="L58" t="s">
        <v>17</v>
      </c>
      <c r="M58">
        <v>16</v>
      </c>
      <c r="N58" t="s">
        <v>31</v>
      </c>
      <c r="O58" t="s">
        <v>32</v>
      </c>
      <c r="P58">
        <v>0</v>
      </c>
      <c r="Q58">
        <v>0</v>
      </c>
      <c r="R58">
        <v>1</v>
      </c>
      <c r="S58">
        <v>0</v>
      </c>
      <c r="T58">
        <v>0</v>
      </c>
      <c r="U58">
        <v>0</v>
      </c>
      <c r="V58">
        <v>0</v>
      </c>
      <c r="W58">
        <v>0</v>
      </c>
      <c r="X58">
        <v>0</v>
      </c>
    </row>
    <row r="59" spans="1:24" x14ac:dyDescent="0.3">
      <c r="A59" t="s">
        <v>150</v>
      </c>
      <c r="B59" s="2">
        <v>46279</v>
      </c>
      <c r="C59" s="2">
        <v>46276</v>
      </c>
      <c r="D59" t="s">
        <v>151</v>
      </c>
      <c r="E59" t="s">
        <v>101</v>
      </c>
      <c r="F59" t="s">
        <v>46</v>
      </c>
      <c r="G59">
        <v>4600</v>
      </c>
      <c r="H59">
        <v>211.16</v>
      </c>
      <c r="I59" t="s">
        <v>28</v>
      </c>
      <c r="J59" t="s">
        <v>37</v>
      </c>
      <c r="K59" t="s">
        <v>38</v>
      </c>
      <c r="L59" t="s">
        <v>18</v>
      </c>
      <c r="M59">
        <v>16</v>
      </c>
      <c r="N59" t="s">
        <v>31</v>
      </c>
      <c r="O59" t="s">
        <v>32</v>
      </c>
      <c r="P59">
        <v>0</v>
      </c>
      <c r="Q59">
        <v>0</v>
      </c>
      <c r="R59">
        <v>0</v>
      </c>
      <c r="S59">
        <v>1</v>
      </c>
      <c r="T59">
        <v>0</v>
      </c>
      <c r="U59">
        <v>0</v>
      </c>
      <c r="V59">
        <v>0</v>
      </c>
      <c r="W59">
        <v>0</v>
      </c>
      <c r="X59">
        <v>0</v>
      </c>
    </row>
    <row r="60" spans="1:24" x14ac:dyDescent="0.3">
      <c r="A60" t="s">
        <v>152</v>
      </c>
      <c r="B60" s="2">
        <v>46279</v>
      </c>
      <c r="C60" s="2">
        <v>46284</v>
      </c>
      <c r="D60" t="s">
        <v>84</v>
      </c>
      <c r="E60" t="s">
        <v>41</v>
      </c>
      <c r="F60" t="s">
        <v>46</v>
      </c>
      <c r="G60">
        <v>12000</v>
      </c>
      <c r="H60">
        <v>103.9</v>
      </c>
      <c r="I60" t="s">
        <v>42</v>
      </c>
      <c r="J60" t="s">
        <v>119</v>
      </c>
      <c r="K60" t="s">
        <v>38</v>
      </c>
      <c r="L60" t="s">
        <v>19</v>
      </c>
      <c r="M60">
        <v>16</v>
      </c>
      <c r="N60" t="s">
        <v>31</v>
      </c>
      <c r="O60" t="s">
        <v>32</v>
      </c>
      <c r="P60">
        <v>0</v>
      </c>
      <c r="Q60">
        <v>0</v>
      </c>
      <c r="R60">
        <v>0</v>
      </c>
      <c r="S60">
        <v>0</v>
      </c>
      <c r="T60">
        <v>1</v>
      </c>
      <c r="U60">
        <v>0</v>
      </c>
      <c r="V60">
        <v>0</v>
      </c>
      <c r="W60">
        <v>0</v>
      </c>
      <c r="X60">
        <v>0</v>
      </c>
    </row>
    <row r="61" spans="1:24" x14ac:dyDescent="0.3">
      <c r="A61" t="s">
        <v>153</v>
      </c>
      <c r="B61" s="2">
        <v>46279</v>
      </c>
      <c r="C61" s="2">
        <v>46284</v>
      </c>
      <c r="D61" t="s">
        <v>71</v>
      </c>
      <c r="E61" t="s">
        <v>41</v>
      </c>
      <c r="F61" t="s">
        <v>46</v>
      </c>
      <c r="G61">
        <v>8000</v>
      </c>
      <c r="H61">
        <v>106.41</v>
      </c>
      <c r="I61" t="s">
        <v>42</v>
      </c>
      <c r="J61" t="s">
        <v>37</v>
      </c>
      <c r="K61" t="s">
        <v>38</v>
      </c>
      <c r="L61" t="s">
        <v>19</v>
      </c>
      <c r="M61">
        <v>16</v>
      </c>
      <c r="N61" t="s">
        <v>31</v>
      </c>
      <c r="O61" t="s">
        <v>32</v>
      </c>
      <c r="P61">
        <v>0</v>
      </c>
      <c r="Q61">
        <v>0</v>
      </c>
      <c r="R61">
        <v>0</v>
      </c>
      <c r="S61">
        <v>0</v>
      </c>
      <c r="T61">
        <v>1</v>
      </c>
      <c r="U61">
        <v>0</v>
      </c>
      <c r="V61">
        <v>0</v>
      </c>
      <c r="W61">
        <v>0</v>
      </c>
      <c r="X61">
        <v>0</v>
      </c>
    </row>
    <row r="62" spans="1:24" x14ac:dyDescent="0.3">
      <c r="A62" t="s">
        <v>154</v>
      </c>
      <c r="B62" s="2">
        <v>46279</v>
      </c>
      <c r="C62" s="2">
        <v>46281</v>
      </c>
      <c r="D62" t="s">
        <v>155</v>
      </c>
      <c r="E62" t="s">
        <v>89</v>
      </c>
      <c r="F62" t="s">
        <v>46</v>
      </c>
      <c r="G62">
        <v>29600</v>
      </c>
      <c r="H62">
        <v>106.46</v>
      </c>
      <c r="I62" t="s">
        <v>36</v>
      </c>
      <c r="J62" t="s">
        <v>60</v>
      </c>
      <c r="K62" t="s">
        <v>38</v>
      </c>
      <c r="L62" t="s">
        <v>20</v>
      </c>
      <c r="M62">
        <v>16</v>
      </c>
      <c r="N62" t="s">
        <v>31</v>
      </c>
      <c r="O62" t="s">
        <v>32</v>
      </c>
      <c r="P62">
        <v>0</v>
      </c>
      <c r="Q62">
        <v>0</v>
      </c>
      <c r="R62">
        <v>0</v>
      </c>
      <c r="S62">
        <v>0</v>
      </c>
      <c r="T62">
        <v>0</v>
      </c>
      <c r="U62">
        <v>1</v>
      </c>
      <c r="V62">
        <v>0</v>
      </c>
      <c r="W62">
        <v>0</v>
      </c>
      <c r="X62">
        <v>0</v>
      </c>
    </row>
    <row r="63" spans="1:24" x14ac:dyDescent="0.3">
      <c r="A63" t="s">
        <v>156</v>
      </c>
      <c r="B63" s="2">
        <v>46279</v>
      </c>
      <c r="C63" s="2">
        <v>46281</v>
      </c>
      <c r="D63" t="s">
        <v>110</v>
      </c>
      <c r="E63" t="s">
        <v>103</v>
      </c>
      <c r="F63" t="s">
        <v>27</v>
      </c>
      <c r="G63">
        <v>49000</v>
      </c>
      <c r="H63">
        <v>106.42</v>
      </c>
      <c r="I63" t="s">
        <v>42</v>
      </c>
      <c r="J63" t="s">
        <v>119</v>
      </c>
      <c r="K63" t="s">
        <v>38</v>
      </c>
      <c r="L63" t="s">
        <v>20</v>
      </c>
      <c r="M63">
        <v>16</v>
      </c>
      <c r="N63" t="s">
        <v>31</v>
      </c>
      <c r="O63" t="s">
        <v>32</v>
      </c>
      <c r="P63">
        <v>0</v>
      </c>
      <c r="Q63">
        <v>0</v>
      </c>
      <c r="R63">
        <v>0</v>
      </c>
      <c r="S63">
        <v>0</v>
      </c>
      <c r="T63">
        <v>0</v>
      </c>
      <c r="U63">
        <v>1</v>
      </c>
      <c r="V63">
        <v>0</v>
      </c>
      <c r="W63">
        <v>0</v>
      </c>
      <c r="X63">
        <v>0</v>
      </c>
    </row>
    <row r="64" spans="1:24" x14ac:dyDescent="0.3">
      <c r="A64" t="s">
        <v>157</v>
      </c>
      <c r="B64" s="2">
        <v>46279</v>
      </c>
      <c r="C64" s="2">
        <v>46281</v>
      </c>
      <c r="D64" t="s">
        <v>105</v>
      </c>
      <c r="E64" t="s">
        <v>49</v>
      </c>
      <c r="F64" t="s">
        <v>46</v>
      </c>
      <c r="G64">
        <v>32800</v>
      </c>
      <c r="H64">
        <v>103.76</v>
      </c>
      <c r="I64" t="s">
        <v>28</v>
      </c>
      <c r="J64" t="s">
        <v>50</v>
      </c>
      <c r="K64" t="s">
        <v>38</v>
      </c>
      <c r="L64" t="s">
        <v>20</v>
      </c>
      <c r="M64">
        <v>16</v>
      </c>
      <c r="N64" t="s">
        <v>31</v>
      </c>
      <c r="O64" t="s">
        <v>32</v>
      </c>
      <c r="P64">
        <v>0</v>
      </c>
      <c r="Q64">
        <v>0</v>
      </c>
      <c r="R64">
        <v>0</v>
      </c>
      <c r="S64">
        <v>0</v>
      </c>
      <c r="T64">
        <v>0</v>
      </c>
      <c r="U64">
        <v>1</v>
      </c>
      <c r="V64">
        <v>0</v>
      </c>
      <c r="W64">
        <v>0</v>
      </c>
      <c r="X64">
        <v>0</v>
      </c>
    </row>
    <row r="65" spans="1:24" x14ac:dyDescent="0.3">
      <c r="A65" t="s">
        <v>158</v>
      </c>
      <c r="B65" s="2">
        <v>46279</v>
      </c>
      <c r="C65" s="2">
        <v>46281</v>
      </c>
      <c r="D65" t="s">
        <v>159</v>
      </c>
      <c r="E65" t="s">
        <v>89</v>
      </c>
      <c r="F65" t="s">
        <v>27</v>
      </c>
      <c r="G65">
        <v>2000</v>
      </c>
      <c r="H65">
        <v>102.9</v>
      </c>
      <c r="I65" t="s">
        <v>36</v>
      </c>
      <c r="J65" t="s">
        <v>50</v>
      </c>
      <c r="K65" t="s">
        <v>38</v>
      </c>
      <c r="L65" t="s">
        <v>21</v>
      </c>
      <c r="M65">
        <v>16</v>
      </c>
      <c r="N65" t="s">
        <v>31</v>
      </c>
      <c r="O65" t="s">
        <v>32</v>
      </c>
      <c r="P65">
        <v>0</v>
      </c>
      <c r="Q65">
        <v>0</v>
      </c>
      <c r="R65">
        <v>0</v>
      </c>
      <c r="S65">
        <v>0</v>
      </c>
      <c r="T65">
        <v>0</v>
      </c>
      <c r="U65">
        <v>0</v>
      </c>
      <c r="V65">
        <v>1</v>
      </c>
      <c r="W65">
        <v>0</v>
      </c>
      <c r="X65">
        <v>0</v>
      </c>
    </row>
    <row r="66" spans="1:24" x14ac:dyDescent="0.3">
      <c r="A66" t="s">
        <v>160</v>
      </c>
      <c r="B66" s="2">
        <v>46279</v>
      </c>
      <c r="C66" s="2">
        <v>46281</v>
      </c>
      <c r="D66" t="s">
        <v>110</v>
      </c>
      <c r="E66" t="s">
        <v>49</v>
      </c>
      <c r="F66" t="s">
        <v>46</v>
      </c>
      <c r="G66">
        <v>17000</v>
      </c>
      <c r="H66">
        <v>101.43</v>
      </c>
      <c r="I66" t="s">
        <v>36</v>
      </c>
      <c r="J66" t="s">
        <v>119</v>
      </c>
      <c r="K66" t="s">
        <v>38</v>
      </c>
      <c r="L66" t="s">
        <v>22</v>
      </c>
      <c r="M66">
        <v>16</v>
      </c>
      <c r="N66" t="s">
        <v>31</v>
      </c>
      <c r="O66" t="s">
        <v>32</v>
      </c>
      <c r="P66">
        <v>0</v>
      </c>
      <c r="Q66">
        <v>0</v>
      </c>
      <c r="R66">
        <v>0</v>
      </c>
      <c r="S66">
        <v>0</v>
      </c>
      <c r="T66">
        <v>0</v>
      </c>
      <c r="U66">
        <v>0</v>
      </c>
      <c r="V66">
        <v>0</v>
      </c>
      <c r="W66">
        <v>1</v>
      </c>
      <c r="X66">
        <v>0</v>
      </c>
    </row>
    <row r="67" spans="1:24" x14ac:dyDescent="0.3">
      <c r="A67" t="s">
        <v>137</v>
      </c>
      <c r="B67" s="2">
        <v>46279</v>
      </c>
      <c r="C67" s="2">
        <v>46281</v>
      </c>
      <c r="D67" t="s">
        <v>138</v>
      </c>
      <c r="E67" t="s">
        <v>59</v>
      </c>
      <c r="F67" t="s">
        <v>27</v>
      </c>
      <c r="G67">
        <v>1000</v>
      </c>
      <c r="H67">
        <v>100.99</v>
      </c>
      <c r="I67" t="s">
        <v>36</v>
      </c>
      <c r="J67" t="s">
        <v>50</v>
      </c>
      <c r="K67" t="s">
        <v>30</v>
      </c>
      <c r="L67" t="s">
        <v>23</v>
      </c>
      <c r="M67">
        <v>16</v>
      </c>
      <c r="N67" t="s">
        <v>31</v>
      </c>
      <c r="O67" t="s">
        <v>32</v>
      </c>
      <c r="P67">
        <v>0</v>
      </c>
      <c r="Q67">
        <v>0</v>
      </c>
      <c r="R67">
        <v>0</v>
      </c>
      <c r="S67">
        <v>0</v>
      </c>
      <c r="T67">
        <v>0</v>
      </c>
      <c r="U67">
        <v>0</v>
      </c>
      <c r="V67">
        <v>0</v>
      </c>
      <c r="W67">
        <v>0</v>
      </c>
      <c r="X67">
        <v>1</v>
      </c>
    </row>
    <row r="68" spans="1:24" x14ac:dyDescent="0.3">
      <c r="A68" t="s">
        <v>161</v>
      </c>
      <c r="B68" s="2">
        <v>46280</v>
      </c>
      <c r="C68" s="2">
        <v>46282</v>
      </c>
      <c r="D68" t="s">
        <v>99</v>
      </c>
      <c r="E68" t="s">
        <v>162</v>
      </c>
      <c r="F68" t="s">
        <v>46</v>
      </c>
      <c r="H68">
        <v>97.08</v>
      </c>
      <c r="I68" t="s">
        <v>36</v>
      </c>
      <c r="J68" t="s">
        <v>119</v>
      </c>
      <c r="K68" t="s">
        <v>38</v>
      </c>
      <c r="L68" t="s">
        <v>15</v>
      </c>
      <c r="M68">
        <v>15</v>
      </c>
      <c r="N68" t="s">
        <v>31</v>
      </c>
      <c r="O68" t="s">
        <v>32</v>
      </c>
      <c r="P68">
        <v>1</v>
      </c>
      <c r="Q68">
        <v>0</v>
      </c>
      <c r="R68">
        <v>0</v>
      </c>
      <c r="S68">
        <v>0</v>
      </c>
      <c r="T68">
        <v>0</v>
      </c>
      <c r="U68">
        <v>0</v>
      </c>
      <c r="V68">
        <v>0</v>
      </c>
      <c r="W68">
        <v>0</v>
      </c>
      <c r="X68">
        <v>0</v>
      </c>
    </row>
    <row r="69" spans="1:24" x14ac:dyDescent="0.3">
      <c r="A69" t="s">
        <v>163</v>
      </c>
      <c r="B69" s="2">
        <v>46280</v>
      </c>
      <c r="C69" s="2">
        <v>46282</v>
      </c>
      <c r="E69" t="s">
        <v>101</v>
      </c>
      <c r="F69" t="s">
        <v>27</v>
      </c>
      <c r="G69">
        <v>18000</v>
      </c>
      <c r="H69">
        <v>205.68</v>
      </c>
      <c r="I69" t="s">
        <v>28</v>
      </c>
      <c r="J69" t="s">
        <v>60</v>
      </c>
      <c r="K69" t="s">
        <v>38</v>
      </c>
      <c r="L69" t="s">
        <v>15</v>
      </c>
      <c r="M69">
        <v>15</v>
      </c>
      <c r="N69" t="s">
        <v>31</v>
      </c>
      <c r="O69" t="s">
        <v>32</v>
      </c>
      <c r="P69">
        <v>1</v>
      </c>
      <c r="Q69">
        <v>0</v>
      </c>
      <c r="R69">
        <v>0</v>
      </c>
      <c r="S69">
        <v>0</v>
      </c>
      <c r="T69">
        <v>0</v>
      </c>
      <c r="U69">
        <v>0</v>
      </c>
      <c r="V69">
        <v>0</v>
      </c>
      <c r="W69">
        <v>0</v>
      </c>
      <c r="X69">
        <v>0</v>
      </c>
    </row>
    <row r="70" spans="1:24" x14ac:dyDescent="0.3">
      <c r="A70" t="s">
        <v>164</v>
      </c>
      <c r="B70" s="2">
        <v>46280</v>
      </c>
      <c r="C70" s="2">
        <v>46282</v>
      </c>
      <c r="D70" t="s">
        <v>87</v>
      </c>
      <c r="E70" t="s">
        <v>165</v>
      </c>
      <c r="F70" t="s">
        <v>27</v>
      </c>
      <c r="H70">
        <v>174.76</v>
      </c>
      <c r="I70" t="s">
        <v>42</v>
      </c>
      <c r="J70" t="s">
        <v>50</v>
      </c>
      <c r="K70" t="s">
        <v>38</v>
      </c>
      <c r="L70" t="s">
        <v>15</v>
      </c>
      <c r="M70">
        <v>15</v>
      </c>
      <c r="N70" t="s">
        <v>31</v>
      </c>
      <c r="O70" t="s">
        <v>32</v>
      </c>
      <c r="P70">
        <v>1</v>
      </c>
      <c r="Q70">
        <v>0</v>
      </c>
      <c r="R70">
        <v>0</v>
      </c>
      <c r="S70">
        <v>0</v>
      </c>
      <c r="T70">
        <v>0</v>
      </c>
      <c r="U70">
        <v>0</v>
      </c>
      <c r="V70">
        <v>0</v>
      </c>
      <c r="W70">
        <v>0</v>
      </c>
      <c r="X70">
        <v>0</v>
      </c>
    </row>
    <row r="71" spans="1:24" x14ac:dyDescent="0.3">
      <c r="A71" t="s">
        <v>166</v>
      </c>
      <c r="B71" s="2">
        <v>46280</v>
      </c>
      <c r="D71" t="s">
        <v>105</v>
      </c>
      <c r="E71" t="s">
        <v>162</v>
      </c>
      <c r="F71" t="s">
        <v>27</v>
      </c>
      <c r="G71">
        <v>7000</v>
      </c>
      <c r="H71">
        <v>93.71</v>
      </c>
      <c r="I71" t="s">
        <v>36</v>
      </c>
      <c r="J71" t="s">
        <v>29</v>
      </c>
      <c r="K71" t="s">
        <v>30</v>
      </c>
      <c r="L71" t="s">
        <v>15</v>
      </c>
      <c r="M71">
        <v>15</v>
      </c>
      <c r="N71" t="s">
        <v>31</v>
      </c>
      <c r="O71" t="s">
        <v>32</v>
      </c>
      <c r="P71">
        <v>1</v>
      </c>
      <c r="Q71">
        <v>0</v>
      </c>
      <c r="R71">
        <v>0</v>
      </c>
      <c r="S71">
        <v>0</v>
      </c>
      <c r="T71">
        <v>0</v>
      </c>
      <c r="U71">
        <v>0</v>
      </c>
      <c r="V71">
        <v>0</v>
      </c>
      <c r="W71">
        <v>0</v>
      </c>
      <c r="X71">
        <v>0</v>
      </c>
    </row>
    <row r="72" spans="1:24" x14ac:dyDescent="0.3">
      <c r="A72" t="s">
        <v>167</v>
      </c>
      <c r="B72" s="2">
        <v>46280</v>
      </c>
      <c r="C72" s="2">
        <v>46282</v>
      </c>
      <c r="D72" t="s">
        <v>168</v>
      </c>
      <c r="E72" t="s">
        <v>89</v>
      </c>
      <c r="F72" t="s">
        <v>46</v>
      </c>
      <c r="G72">
        <v>5000</v>
      </c>
      <c r="H72">
        <v>103.6</v>
      </c>
      <c r="I72" t="s">
        <v>36</v>
      </c>
      <c r="J72" t="s">
        <v>29</v>
      </c>
      <c r="K72" t="s">
        <v>38</v>
      </c>
      <c r="L72" t="s">
        <v>16</v>
      </c>
      <c r="M72">
        <v>15</v>
      </c>
      <c r="N72" t="s">
        <v>31</v>
      </c>
      <c r="O72" t="s">
        <v>32</v>
      </c>
      <c r="P72">
        <v>0</v>
      </c>
      <c r="Q72">
        <v>1</v>
      </c>
      <c r="R72">
        <v>0</v>
      </c>
      <c r="S72">
        <v>0</v>
      </c>
      <c r="T72">
        <v>0</v>
      </c>
      <c r="U72">
        <v>0</v>
      </c>
      <c r="V72">
        <v>0</v>
      </c>
      <c r="W72">
        <v>0</v>
      </c>
      <c r="X72">
        <v>0</v>
      </c>
    </row>
    <row r="73" spans="1:24" x14ac:dyDescent="0.3">
      <c r="A73" t="s">
        <v>169</v>
      </c>
      <c r="B73" s="2">
        <v>46280</v>
      </c>
      <c r="C73" s="2">
        <v>46282</v>
      </c>
      <c r="D73" t="s">
        <v>170</v>
      </c>
      <c r="E73" t="s">
        <v>147</v>
      </c>
      <c r="F73" t="s">
        <v>46</v>
      </c>
      <c r="G73">
        <v>2000</v>
      </c>
      <c r="H73">
        <v>41.74</v>
      </c>
      <c r="I73" t="s">
        <v>36</v>
      </c>
      <c r="J73" t="s">
        <v>50</v>
      </c>
      <c r="K73" t="s">
        <v>38</v>
      </c>
      <c r="L73" t="s">
        <v>16</v>
      </c>
      <c r="M73">
        <v>15</v>
      </c>
      <c r="N73" t="s">
        <v>31</v>
      </c>
      <c r="O73" t="s">
        <v>32</v>
      </c>
      <c r="P73">
        <v>0</v>
      </c>
      <c r="Q73">
        <v>1</v>
      </c>
      <c r="R73">
        <v>0</v>
      </c>
      <c r="S73">
        <v>0</v>
      </c>
      <c r="T73">
        <v>0</v>
      </c>
      <c r="U73">
        <v>0</v>
      </c>
      <c r="V73">
        <v>0</v>
      </c>
      <c r="W73">
        <v>0</v>
      </c>
      <c r="X73">
        <v>0</v>
      </c>
    </row>
    <row r="74" spans="1:24" x14ac:dyDescent="0.3">
      <c r="A74" t="s">
        <v>171</v>
      </c>
      <c r="B74" s="2">
        <v>46280</v>
      </c>
      <c r="C74" s="2">
        <v>46282</v>
      </c>
      <c r="D74" t="s">
        <v>144</v>
      </c>
      <c r="E74" t="s">
        <v>41</v>
      </c>
      <c r="F74" t="s">
        <v>27</v>
      </c>
      <c r="G74">
        <v>1000</v>
      </c>
      <c r="H74">
        <v>105.93</v>
      </c>
      <c r="I74" t="s">
        <v>42</v>
      </c>
      <c r="J74" t="s">
        <v>37</v>
      </c>
      <c r="K74" t="s">
        <v>38</v>
      </c>
      <c r="L74" t="s">
        <v>16</v>
      </c>
      <c r="M74">
        <v>15</v>
      </c>
      <c r="N74" t="s">
        <v>31</v>
      </c>
      <c r="O74" t="s">
        <v>32</v>
      </c>
      <c r="P74">
        <v>0</v>
      </c>
      <c r="Q74">
        <v>1</v>
      </c>
      <c r="R74">
        <v>0</v>
      </c>
      <c r="S74">
        <v>0</v>
      </c>
      <c r="T74">
        <v>0</v>
      </c>
      <c r="U74">
        <v>0</v>
      </c>
      <c r="V74">
        <v>0</v>
      </c>
      <c r="W74">
        <v>0</v>
      </c>
      <c r="X74">
        <v>0</v>
      </c>
    </row>
    <row r="75" spans="1:24" x14ac:dyDescent="0.3">
      <c r="A75" t="s">
        <v>172</v>
      </c>
      <c r="B75" s="2">
        <v>46280</v>
      </c>
      <c r="C75" s="2">
        <v>46284</v>
      </c>
      <c r="D75" t="s">
        <v>151</v>
      </c>
      <c r="E75" t="s">
        <v>165</v>
      </c>
      <c r="F75" t="s">
        <v>27</v>
      </c>
      <c r="G75">
        <v>32000</v>
      </c>
      <c r="H75">
        <v>176.13</v>
      </c>
      <c r="I75" t="s">
        <v>42</v>
      </c>
      <c r="J75" t="s">
        <v>60</v>
      </c>
      <c r="K75" t="s">
        <v>38</v>
      </c>
      <c r="L75" t="s">
        <v>19</v>
      </c>
      <c r="M75">
        <v>15</v>
      </c>
      <c r="N75" t="s">
        <v>31</v>
      </c>
      <c r="O75" t="s">
        <v>32</v>
      </c>
      <c r="P75">
        <v>0</v>
      </c>
      <c r="Q75">
        <v>0</v>
      </c>
      <c r="R75">
        <v>0</v>
      </c>
      <c r="S75">
        <v>0</v>
      </c>
      <c r="T75">
        <v>1</v>
      </c>
      <c r="U75">
        <v>0</v>
      </c>
      <c r="V75">
        <v>0</v>
      </c>
      <c r="W75">
        <v>0</v>
      </c>
      <c r="X75">
        <v>0</v>
      </c>
    </row>
    <row r="76" spans="1:24" x14ac:dyDescent="0.3">
      <c r="A76" t="s">
        <v>173</v>
      </c>
      <c r="B76" s="2">
        <v>46280</v>
      </c>
      <c r="C76" s="2">
        <v>46282</v>
      </c>
      <c r="D76" t="s">
        <v>113</v>
      </c>
      <c r="E76" t="s">
        <v>101</v>
      </c>
      <c r="F76" t="s">
        <v>27</v>
      </c>
      <c r="G76">
        <v>16500</v>
      </c>
      <c r="H76">
        <v>214.41</v>
      </c>
      <c r="I76" t="s">
        <v>28</v>
      </c>
      <c r="J76" t="s">
        <v>119</v>
      </c>
      <c r="K76" t="s">
        <v>38</v>
      </c>
      <c r="L76" t="s">
        <v>21</v>
      </c>
      <c r="M76">
        <v>15</v>
      </c>
      <c r="N76" t="s">
        <v>31</v>
      </c>
      <c r="O76" t="s">
        <v>32</v>
      </c>
      <c r="P76">
        <v>0</v>
      </c>
      <c r="Q76">
        <v>0</v>
      </c>
      <c r="R76">
        <v>0</v>
      </c>
      <c r="S76">
        <v>0</v>
      </c>
      <c r="T76">
        <v>0</v>
      </c>
      <c r="U76">
        <v>0</v>
      </c>
      <c r="V76">
        <v>1</v>
      </c>
      <c r="W76">
        <v>0</v>
      </c>
      <c r="X76">
        <v>0</v>
      </c>
    </row>
    <row r="77" spans="1:24" x14ac:dyDescent="0.3">
      <c r="A77" t="s">
        <v>174</v>
      </c>
      <c r="B77" s="2">
        <v>46281</v>
      </c>
      <c r="C77" s="2">
        <v>46283</v>
      </c>
      <c r="D77" t="s">
        <v>87</v>
      </c>
      <c r="E77" t="s">
        <v>26</v>
      </c>
      <c r="F77" t="s">
        <v>46</v>
      </c>
      <c r="G77">
        <v>1000</v>
      </c>
      <c r="H77">
        <v>104.36</v>
      </c>
      <c r="I77" t="s">
        <v>28</v>
      </c>
      <c r="J77" t="s">
        <v>37</v>
      </c>
      <c r="K77" t="s">
        <v>30</v>
      </c>
      <c r="L77" t="s">
        <v>23</v>
      </c>
      <c r="M77">
        <v>14</v>
      </c>
      <c r="N77" t="s">
        <v>31</v>
      </c>
      <c r="O77" t="s">
        <v>32</v>
      </c>
      <c r="P77">
        <v>0</v>
      </c>
      <c r="Q77">
        <v>0</v>
      </c>
      <c r="R77">
        <v>0</v>
      </c>
      <c r="S77">
        <v>0</v>
      </c>
      <c r="T77">
        <v>0</v>
      </c>
      <c r="U77">
        <v>0</v>
      </c>
      <c r="V77">
        <v>0</v>
      </c>
      <c r="W77">
        <v>0</v>
      </c>
      <c r="X77">
        <v>1</v>
      </c>
    </row>
    <row r="78" spans="1:24" x14ac:dyDescent="0.3">
      <c r="A78" t="s">
        <v>175</v>
      </c>
      <c r="B78" s="2">
        <v>46281</v>
      </c>
      <c r="C78" s="2">
        <v>46283</v>
      </c>
      <c r="D78" t="s">
        <v>176</v>
      </c>
      <c r="E78" t="s">
        <v>177</v>
      </c>
      <c r="F78" t="s">
        <v>46</v>
      </c>
      <c r="G78">
        <v>18400</v>
      </c>
      <c r="H78">
        <v>120.99</v>
      </c>
      <c r="I78" t="s">
        <v>28</v>
      </c>
      <c r="J78" t="s">
        <v>29</v>
      </c>
      <c r="K78" t="s">
        <v>30</v>
      </c>
      <c r="L78" t="s">
        <v>17</v>
      </c>
      <c r="M78">
        <v>14</v>
      </c>
      <c r="N78" t="s">
        <v>31</v>
      </c>
      <c r="O78" t="s">
        <v>32</v>
      </c>
      <c r="P78">
        <v>0</v>
      </c>
      <c r="Q78">
        <v>0</v>
      </c>
      <c r="R78">
        <v>1</v>
      </c>
      <c r="S78">
        <v>0</v>
      </c>
      <c r="T78">
        <v>0</v>
      </c>
      <c r="U78">
        <v>0</v>
      </c>
      <c r="V78">
        <v>0</v>
      </c>
      <c r="W78">
        <v>0</v>
      </c>
      <c r="X78">
        <v>0</v>
      </c>
    </row>
    <row r="79" spans="1:24" x14ac:dyDescent="0.3">
      <c r="A79" t="s">
        <v>178</v>
      </c>
      <c r="B79" s="2">
        <v>46281</v>
      </c>
      <c r="C79" s="2">
        <v>46283</v>
      </c>
      <c r="D79" t="s">
        <v>99</v>
      </c>
      <c r="E79" t="s">
        <v>179</v>
      </c>
      <c r="F79" t="s">
        <v>46</v>
      </c>
      <c r="G79">
        <v>4000</v>
      </c>
      <c r="H79">
        <v>104.43</v>
      </c>
      <c r="I79" t="s">
        <v>36</v>
      </c>
      <c r="J79" t="s">
        <v>60</v>
      </c>
      <c r="K79" t="s">
        <v>38</v>
      </c>
      <c r="L79" t="s">
        <v>17</v>
      </c>
      <c r="M79">
        <v>14</v>
      </c>
      <c r="N79" t="s">
        <v>31</v>
      </c>
      <c r="O79" t="s">
        <v>32</v>
      </c>
      <c r="P79">
        <v>0</v>
      </c>
      <c r="Q79">
        <v>0</v>
      </c>
      <c r="R79">
        <v>1</v>
      </c>
      <c r="S79">
        <v>0</v>
      </c>
      <c r="T79">
        <v>0</v>
      </c>
      <c r="U79">
        <v>0</v>
      </c>
      <c r="V79">
        <v>0</v>
      </c>
      <c r="W79">
        <v>0</v>
      </c>
      <c r="X79">
        <v>0</v>
      </c>
    </row>
    <row r="80" spans="1:24" x14ac:dyDescent="0.3">
      <c r="A80" t="s">
        <v>180</v>
      </c>
      <c r="B80" s="2">
        <v>46281</v>
      </c>
      <c r="C80" s="2">
        <v>46283</v>
      </c>
      <c r="D80" t="s">
        <v>58</v>
      </c>
      <c r="E80" t="s">
        <v>181</v>
      </c>
      <c r="F80" t="s">
        <v>46</v>
      </c>
      <c r="G80">
        <v>10000</v>
      </c>
      <c r="H80">
        <v>169.33</v>
      </c>
      <c r="I80" t="s">
        <v>42</v>
      </c>
      <c r="J80" t="s">
        <v>29</v>
      </c>
      <c r="K80" t="s">
        <v>38</v>
      </c>
      <c r="L80" t="s">
        <v>17</v>
      </c>
      <c r="M80">
        <v>14</v>
      </c>
      <c r="N80" t="s">
        <v>31</v>
      </c>
      <c r="O80" t="s">
        <v>32</v>
      </c>
      <c r="P80">
        <v>0</v>
      </c>
      <c r="Q80">
        <v>0</v>
      </c>
      <c r="R80">
        <v>1</v>
      </c>
      <c r="S80">
        <v>0</v>
      </c>
      <c r="T80">
        <v>0</v>
      </c>
      <c r="U80">
        <v>0</v>
      </c>
      <c r="V80">
        <v>0</v>
      </c>
      <c r="W80">
        <v>0</v>
      </c>
      <c r="X80">
        <v>0</v>
      </c>
    </row>
    <row r="81" spans="1:24" x14ac:dyDescent="0.3">
      <c r="A81" t="s">
        <v>182</v>
      </c>
      <c r="B81" s="2">
        <v>46281</v>
      </c>
      <c r="C81" s="2">
        <v>46279</v>
      </c>
      <c r="D81" t="s">
        <v>183</v>
      </c>
      <c r="E81" t="s">
        <v>111</v>
      </c>
      <c r="F81" t="s">
        <v>46</v>
      </c>
      <c r="G81">
        <v>2000</v>
      </c>
      <c r="H81">
        <v>105.68</v>
      </c>
      <c r="I81" t="s">
        <v>42</v>
      </c>
      <c r="J81" t="s">
        <v>50</v>
      </c>
      <c r="K81" t="s">
        <v>38</v>
      </c>
      <c r="L81" t="s">
        <v>18</v>
      </c>
      <c r="M81">
        <v>14</v>
      </c>
      <c r="N81" t="s">
        <v>31</v>
      </c>
      <c r="O81" t="s">
        <v>32</v>
      </c>
      <c r="P81">
        <v>0</v>
      </c>
      <c r="Q81">
        <v>0</v>
      </c>
      <c r="R81">
        <v>0</v>
      </c>
      <c r="S81">
        <v>1</v>
      </c>
      <c r="T81">
        <v>0</v>
      </c>
      <c r="U81">
        <v>0</v>
      </c>
      <c r="V81">
        <v>0</v>
      </c>
      <c r="W81">
        <v>0</v>
      </c>
      <c r="X81">
        <v>0</v>
      </c>
    </row>
    <row r="82" spans="1:24" x14ac:dyDescent="0.3">
      <c r="A82" t="s">
        <v>184</v>
      </c>
      <c r="B82" s="2">
        <v>46281</v>
      </c>
      <c r="C82" s="2">
        <v>46280</v>
      </c>
      <c r="D82" t="s">
        <v>25</v>
      </c>
      <c r="E82" t="s">
        <v>45</v>
      </c>
      <c r="F82" t="s">
        <v>27</v>
      </c>
      <c r="G82">
        <v>16200</v>
      </c>
      <c r="H82">
        <v>96.54</v>
      </c>
      <c r="I82" t="s">
        <v>36</v>
      </c>
      <c r="J82" t="s">
        <v>29</v>
      </c>
      <c r="K82" t="s">
        <v>30</v>
      </c>
      <c r="L82" t="s">
        <v>18</v>
      </c>
      <c r="M82">
        <v>14</v>
      </c>
      <c r="N82" t="s">
        <v>31</v>
      </c>
      <c r="O82" t="s">
        <v>32</v>
      </c>
      <c r="P82">
        <v>0</v>
      </c>
      <c r="Q82">
        <v>0</v>
      </c>
      <c r="R82">
        <v>0</v>
      </c>
      <c r="S82">
        <v>1</v>
      </c>
      <c r="T82">
        <v>0</v>
      </c>
      <c r="U82">
        <v>0</v>
      </c>
      <c r="V82">
        <v>0</v>
      </c>
      <c r="W82">
        <v>0</v>
      </c>
      <c r="X82">
        <v>0</v>
      </c>
    </row>
    <row r="83" spans="1:24" x14ac:dyDescent="0.3">
      <c r="A83" t="s">
        <v>185</v>
      </c>
      <c r="B83" s="2">
        <v>46281</v>
      </c>
      <c r="C83" s="2">
        <v>46284</v>
      </c>
      <c r="D83" t="s">
        <v>63</v>
      </c>
      <c r="E83" t="s">
        <v>81</v>
      </c>
      <c r="F83" t="s">
        <v>46</v>
      </c>
      <c r="G83">
        <v>39200</v>
      </c>
      <c r="H83">
        <v>190.15</v>
      </c>
      <c r="I83" t="s">
        <v>42</v>
      </c>
      <c r="J83" t="s">
        <v>29</v>
      </c>
      <c r="K83" t="s">
        <v>38</v>
      </c>
      <c r="L83" t="s">
        <v>19</v>
      </c>
      <c r="M83">
        <v>14</v>
      </c>
      <c r="N83" t="s">
        <v>31</v>
      </c>
      <c r="O83" t="s">
        <v>32</v>
      </c>
      <c r="P83">
        <v>0</v>
      </c>
      <c r="Q83">
        <v>0</v>
      </c>
      <c r="R83">
        <v>0</v>
      </c>
      <c r="S83">
        <v>0</v>
      </c>
      <c r="T83">
        <v>1</v>
      </c>
      <c r="U83">
        <v>0</v>
      </c>
      <c r="V83">
        <v>0</v>
      </c>
      <c r="W83">
        <v>0</v>
      </c>
      <c r="X83">
        <v>0</v>
      </c>
    </row>
    <row r="84" spans="1:24" x14ac:dyDescent="0.3">
      <c r="A84" t="s">
        <v>186</v>
      </c>
      <c r="B84" s="2">
        <v>46281</v>
      </c>
      <c r="C84" s="2">
        <v>46283</v>
      </c>
      <c r="D84" t="s">
        <v>76</v>
      </c>
      <c r="E84" t="s">
        <v>45</v>
      </c>
      <c r="F84" t="s">
        <v>46</v>
      </c>
      <c r="G84">
        <v>32600</v>
      </c>
      <c r="H84">
        <v>97.36</v>
      </c>
      <c r="I84" t="s">
        <v>36</v>
      </c>
      <c r="J84" t="s">
        <v>50</v>
      </c>
      <c r="K84" t="s">
        <v>38</v>
      </c>
      <c r="L84" t="s">
        <v>21</v>
      </c>
      <c r="M84">
        <v>14</v>
      </c>
      <c r="N84" t="s">
        <v>31</v>
      </c>
      <c r="O84" t="s">
        <v>32</v>
      </c>
      <c r="P84">
        <v>0</v>
      </c>
      <c r="Q84">
        <v>0</v>
      </c>
      <c r="R84">
        <v>0</v>
      </c>
      <c r="S84">
        <v>0</v>
      </c>
      <c r="T84">
        <v>0</v>
      </c>
      <c r="U84">
        <v>0</v>
      </c>
      <c r="V84">
        <v>1</v>
      </c>
      <c r="W84">
        <v>0</v>
      </c>
      <c r="X84">
        <v>0</v>
      </c>
    </row>
    <row r="85" spans="1:24" x14ac:dyDescent="0.3">
      <c r="A85" t="s">
        <v>187</v>
      </c>
      <c r="B85" s="2">
        <v>46281</v>
      </c>
      <c r="C85" s="2">
        <v>46283</v>
      </c>
      <c r="D85" t="s">
        <v>87</v>
      </c>
      <c r="E85" t="s">
        <v>188</v>
      </c>
      <c r="F85" t="s">
        <v>46</v>
      </c>
      <c r="G85">
        <v>12800</v>
      </c>
      <c r="H85">
        <v>101.35</v>
      </c>
      <c r="I85" t="s">
        <v>28</v>
      </c>
      <c r="J85" t="s">
        <v>50</v>
      </c>
      <c r="K85" t="s">
        <v>38</v>
      </c>
      <c r="L85" t="s">
        <v>22</v>
      </c>
      <c r="M85">
        <v>14</v>
      </c>
      <c r="N85" t="s">
        <v>31</v>
      </c>
      <c r="O85" t="s">
        <v>32</v>
      </c>
      <c r="P85">
        <v>0</v>
      </c>
      <c r="Q85">
        <v>0</v>
      </c>
      <c r="R85">
        <v>0</v>
      </c>
      <c r="S85">
        <v>0</v>
      </c>
      <c r="T85">
        <v>0</v>
      </c>
      <c r="U85">
        <v>0</v>
      </c>
      <c r="V85">
        <v>0</v>
      </c>
      <c r="W85">
        <v>1</v>
      </c>
      <c r="X85">
        <v>0</v>
      </c>
    </row>
    <row r="86" spans="1:24" x14ac:dyDescent="0.3">
      <c r="A86" t="s">
        <v>189</v>
      </c>
      <c r="B86" s="2">
        <v>46281</v>
      </c>
      <c r="C86" s="2">
        <v>46283</v>
      </c>
      <c r="D86" t="s">
        <v>84</v>
      </c>
      <c r="E86" t="s">
        <v>116</v>
      </c>
      <c r="F86" t="s">
        <v>46</v>
      </c>
      <c r="G86">
        <v>8700</v>
      </c>
      <c r="H86">
        <v>65.09</v>
      </c>
      <c r="I86" t="s">
        <v>42</v>
      </c>
      <c r="J86" t="s">
        <v>29</v>
      </c>
      <c r="K86" t="s">
        <v>38</v>
      </c>
      <c r="L86" t="s">
        <v>22</v>
      </c>
      <c r="M86">
        <v>14</v>
      </c>
      <c r="N86" t="s">
        <v>31</v>
      </c>
      <c r="O86" t="s">
        <v>32</v>
      </c>
      <c r="P86">
        <v>0</v>
      </c>
      <c r="Q86">
        <v>0</v>
      </c>
      <c r="R86">
        <v>0</v>
      </c>
      <c r="S86">
        <v>0</v>
      </c>
      <c r="T86">
        <v>0</v>
      </c>
      <c r="U86">
        <v>0</v>
      </c>
      <c r="V86">
        <v>0</v>
      </c>
      <c r="W86">
        <v>1</v>
      </c>
      <c r="X86">
        <v>0</v>
      </c>
    </row>
    <row r="87" spans="1:24" x14ac:dyDescent="0.3">
      <c r="A87" t="s">
        <v>174</v>
      </c>
      <c r="B87" s="2">
        <v>46281</v>
      </c>
      <c r="C87" s="2">
        <v>46283</v>
      </c>
      <c r="D87" t="s">
        <v>87</v>
      </c>
      <c r="E87" t="s">
        <v>26</v>
      </c>
      <c r="F87" t="s">
        <v>46</v>
      </c>
      <c r="G87">
        <v>1000</v>
      </c>
      <c r="H87">
        <v>104.36</v>
      </c>
      <c r="I87" t="s">
        <v>28</v>
      </c>
      <c r="J87" t="s">
        <v>37</v>
      </c>
      <c r="K87" t="s">
        <v>30</v>
      </c>
      <c r="L87" t="s">
        <v>23</v>
      </c>
      <c r="M87">
        <v>14</v>
      </c>
      <c r="N87" t="s">
        <v>31</v>
      </c>
      <c r="O87" t="s">
        <v>32</v>
      </c>
      <c r="P87">
        <v>0</v>
      </c>
      <c r="Q87">
        <v>0</v>
      </c>
      <c r="R87">
        <v>0</v>
      </c>
      <c r="S87">
        <v>0</v>
      </c>
      <c r="T87">
        <v>0</v>
      </c>
      <c r="U87">
        <v>0</v>
      </c>
      <c r="V87">
        <v>0</v>
      </c>
      <c r="W87">
        <v>0</v>
      </c>
      <c r="X87">
        <v>1</v>
      </c>
    </row>
    <row r="88" spans="1:24" x14ac:dyDescent="0.3">
      <c r="A88" t="s">
        <v>190</v>
      </c>
      <c r="B88" s="2">
        <v>46282</v>
      </c>
      <c r="C88" s="2">
        <v>46286</v>
      </c>
      <c r="D88" t="s">
        <v>110</v>
      </c>
      <c r="E88" t="s">
        <v>89</v>
      </c>
      <c r="F88" t="s">
        <v>27</v>
      </c>
      <c r="G88">
        <v>5000</v>
      </c>
      <c r="H88">
        <v>104.32</v>
      </c>
      <c r="I88" t="s">
        <v>36</v>
      </c>
      <c r="J88" t="s">
        <v>119</v>
      </c>
      <c r="K88" t="s">
        <v>30</v>
      </c>
      <c r="L88" t="s">
        <v>23</v>
      </c>
      <c r="M88">
        <v>13</v>
      </c>
      <c r="N88" t="s">
        <v>31</v>
      </c>
      <c r="O88" t="s">
        <v>32</v>
      </c>
      <c r="P88">
        <v>0</v>
      </c>
      <c r="Q88">
        <v>0</v>
      </c>
      <c r="R88">
        <v>0</v>
      </c>
      <c r="S88">
        <v>0</v>
      </c>
      <c r="T88">
        <v>0</v>
      </c>
      <c r="U88">
        <v>0</v>
      </c>
      <c r="V88">
        <v>0</v>
      </c>
      <c r="W88">
        <v>0</v>
      </c>
      <c r="X88">
        <v>1</v>
      </c>
    </row>
    <row r="89" spans="1:24" x14ac:dyDescent="0.3">
      <c r="A89" t="s">
        <v>191</v>
      </c>
      <c r="B89" s="2">
        <v>46282</v>
      </c>
      <c r="C89" s="2">
        <v>46286</v>
      </c>
      <c r="E89" t="s">
        <v>45</v>
      </c>
      <c r="F89" t="s">
        <v>27</v>
      </c>
      <c r="G89">
        <v>100</v>
      </c>
      <c r="H89">
        <v>96.91</v>
      </c>
      <c r="I89" t="s">
        <v>36</v>
      </c>
      <c r="J89" t="s">
        <v>37</v>
      </c>
      <c r="K89" t="s">
        <v>38</v>
      </c>
      <c r="L89" t="s">
        <v>15</v>
      </c>
      <c r="M89">
        <v>13</v>
      </c>
      <c r="N89" t="s">
        <v>31</v>
      </c>
      <c r="O89" t="s">
        <v>32</v>
      </c>
      <c r="P89">
        <v>1</v>
      </c>
      <c r="Q89">
        <v>0</v>
      </c>
      <c r="R89">
        <v>0</v>
      </c>
      <c r="S89">
        <v>0</v>
      </c>
      <c r="T89">
        <v>0</v>
      </c>
      <c r="U89">
        <v>0</v>
      </c>
      <c r="V89">
        <v>0</v>
      </c>
      <c r="W89">
        <v>0</v>
      </c>
      <c r="X89">
        <v>0</v>
      </c>
    </row>
    <row r="90" spans="1:24" x14ac:dyDescent="0.3">
      <c r="A90" t="s">
        <v>192</v>
      </c>
      <c r="B90" s="2">
        <v>46282</v>
      </c>
      <c r="C90" s="2">
        <v>46286</v>
      </c>
      <c r="D90" t="s">
        <v>107</v>
      </c>
      <c r="E90" t="s">
        <v>116</v>
      </c>
      <c r="F90" t="s">
        <v>27</v>
      </c>
      <c r="G90">
        <v>14400</v>
      </c>
      <c r="I90" t="s">
        <v>36</v>
      </c>
      <c r="J90" t="s">
        <v>50</v>
      </c>
      <c r="K90" t="s">
        <v>30</v>
      </c>
      <c r="L90" t="s">
        <v>15</v>
      </c>
      <c r="M90">
        <v>13</v>
      </c>
      <c r="N90" t="s">
        <v>31</v>
      </c>
      <c r="O90" t="s">
        <v>32</v>
      </c>
      <c r="P90">
        <v>1</v>
      </c>
      <c r="Q90">
        <v>0</v>
      </c>
      <c r="R90">
        <v>0</v>
      </c>
      <c r="S90">
        <v>0</v>
      </c>
      <c r="T90">
        <v>0</v>
      </c>
      <c r="U90">
        <v>0</v>
      </c>
      <c r="V90">
        <v>0</v>
      </c>
      <c r="W90">
        <v>0</v>
      </c>
      <c r="X90">
        <v>0</v>
      </c>
    </row>
    <row r="91" spans="1:24" x14ac:dyDescent="0.3">
      <c r="A91" t="s">
        <v>193</v>
      </c>
      <c r="B91" s="2">
        <v>46282</v>
      </c>
      <c r="C91" s="2">
        <v>46286</v>
      </c>
      <c r="D91" t="s">
        <v>107</v>
      </c>
      <c r="E91" t="s">
        <v>64</v>
      </c>
      <c r="F91" t="s">
        <v>27</v>
      </c>
      <c r="G91">
        <v>16000</v>
      </c>
      <c r="I91" t="s">
        <v>42</v>
      </c>
      <c r="J91" t="s">
        <v>37</v>
      </c>
      <c r="K91" t="s">
        <v>30</v>
      </c>
      <c r="L91" t="s">
        <v>15</v>
      </c>
      <c r="M91">
        <v>13</v>
      </c>
      <c r="N91" t="s">
        <v>31</v>
      </c>
      <c r="O91" t="s">
        <v>32</v>
      </c>
      <c r="P91">
        <v>1</v>
      </c>
      <c r="Q91">
        <v>0</v>
      </c>
      <c r="R91">
        <v>0</v>
      </c>
      <c r="S91">
        <v>0</v>
      </c>
      <c r="T91">
        <v>0</v>
      </c>
      <c r="U91">
        <v>0</v>
      </c>
      <c r="V91">
        <v>0</v>
      </c>
      <c r="W91">
        <v>0</v>
      </c>
      <c r="X91">
        <v>0</v>
      </c>
    </row>
    <row r="92" spans="1:24" x14ac:dyDescent="0.3">
      <c r="A92" t="s">
        <v>194</v>
      </c>
      <c r="B92" s="2">
        <v>46282</v>
      </c>
      <c r="C92" s="2">
        <v>46286</v>
      </c>
      <c r="D92" t="s">
        <v>195</v>
      </c>
      <c r="E92" t="s">
        <v>188</v>
      </c>
      <c r="F92" t="s">
        <v>46</v>
      </c>
      <c r="G92">
        <v>900</v>
      </c>
      <c r="H92">
        <v>98.42</v>
      </c>
      <c r="I92" t="s">
        <v>42</v>
      </c>
      <c r="J92" t="s">
        <v>29</v>
      </c>
      <c r="K92" t="s">
        <v>38</v>
      </c>
      <c r="L92" t="s">
        <v>16</v>
      </c>
      <c r="M92">
        <v>13</v>
      </c>
      <c r="N92" t="s">
        <v>31</v>
      </c>
      <c r="O92" t="s">
        <v>32</v>
      </c>
      <c r="P92">
        <v>0</v>
      </c>
      <c r="Q92">
        <v>1</v>
      </c>
      <c r="R92">
        <v>0</v>
      </c>
      <c r="S92">
        <v>0</v>
      </c>
      <c r="T92">
        <v>0</v>
      </c>
      <c r="U92">
        <v>0</v>
      </c>
      <c r="V92">
        <v>0</v>
      </c>
      <c r="W92">
        <v>0</v>
      </c>
      <c r="X92">
        <v>0</v>
      </c>
    </row>
    <row r="93" spans="1:24" x14ac:dyDescent="0.3">
      <c r="A93" t="s">
        <v>196</v>
      </c>
      <c r="B93" s="2">
        <v>46282</v>
      </c>
      <c r="C93" s="2">
        <v>46286</v>
      </c>
      <c r="D93" t="s">
        <v>197</v>
      </c>
      <c r="E93" t="s">
        <v>69</v>
      </c>
      <c r="F93" t="s">
        <v>46</v>
      </c>
      <c r="G93">
        <v>18000</v>
      </c>
      <c r="H93">
        <v>100.5</v>
      </c>
      <c r="I93" t="s">
        <v>42</v>
      </c>
      <c r="J93" t="s">
        <v>29</v>
      </c>
      <c r="K93" t="s">
        <v>38</v>
      </c>
      <c r="L93" t="s">
        <v>16</v>
      </c>
      <c r="M93">
        <v>13</v>
      </c>
      <c r="N93" t="s">
        <v>31</v>
      </c>
      <c r="O93" t="s">
        <v>32</v>
      </c>
      <c r="P93">
        <v>0</v>
      </c>
      <c r="Q93">
        <v>1</v>
      </c>
      <c r="R93">
        <v>0</v>
      </c>
      <c r="S93">
        <v>0</v>
      </c>
      <c r="T93">
        <v>0</v>
      </c>
      <c r="U93">
        <v>0</v>
      </c>
      <c r="V93">
        <v>0</v>
      </c>
      <c r="W93">
        <v>0</v>
      </c>
      <c r="X93">
        <v>0</v>
      </c>
    </row>
    <row r="94" spans="1:24" x14ac:dyDescent="0.3">
      <c r="A94" t="s">
        <v>198</v>
      </c>
      <c r="B94" s="2">
        <v>46282</v>
      </c>
      <c r="C94" s="2">
        <v>46286</v>
      </c>
      <c r="D94" t="s">
        <v>199</v>
      </c>
      <c r="E94" t="s">
        <v>89</v>
      </c>
      <c r="F94" t="s">
        <v>46</v>
      </c>
      <c r="G94">
        <v>10000</v>
      </c>
      <c r="H94">
        <v>102.82</v>
      </c>
      <c r="I94" t="s">
        <v>36</v>
      </c>
      <c r="J94" t="s">
        <v>119</v>
      </c>
      <c r="K94" t="s">
        <v>38</v>
      </c>
      <c r="L94" t="s">
        <v>16</v>
      </c>
      <c r="M94">
        <v>13</v>
      </c>
      <c r="N94" t="s">
        <v>31</v>
      </c>
      <c r="O94" t="s">
        <v>32</v>
      </c>
      <c r="P94">
        <v>0</v>
      </c>
      <c r="Q94">
        <v>1</v>
      </c>
      <c r="R94">
        <v>0</v>
      </c>
      <c r="S94">
        <v>0</v>
      </c>
      <c r="T94">
        <v>0</v>
      </c>
      <c r="U94">
        <v>0</v>
      </c>
      <c r="V94">
        <v>0</v>
      </c>
      <c r="W94">
        <v>0</v>
      </c>
      <c r="X94">
        <v>0</v>
      </c>
    </row>
    <row r="95" spans="1:24" x14ac:dyDescent="0.3">
      <c r="A95" t="s">
        <v>200</v>
      </c>
      <c r="B95" s="2">
        <v>46282</v>
      </c>
      <c r="C95" s="2">
        <v>46286</v>
      </c>
      <c r="D95" t="s">
        <v>201</v>
      </c>
      <c r="E95" t="s">
        <v>202</v>
      </c>
      <c r="F95" t="s">
        <v>46</v>
      </c>
      <c r="G95">
        <v>11000</v>
      </c>
      <c r="H95">
        <v>105.32</v>
      </c>
      <c r="I95" t="s">
        <v>42</v>
      </c>
      <c r="J95" t="s">
        <v>50</v>
      </c>
      <c r="K95" t="s">
        <v>38</v>
      </c>
      <c r="L95" t="s">
        <v>17</v>
      </c>
      <c r="M95">
        <v>13</v>
      </c>
      <c r="N95" t="s">
        <v>31</v>
      </c>
      <c r="O95" t="s">
        <v>32</v>
      </c>
      <c r="P95">
        <v>0</v>
      </c>
      <c r="Q95">
        <v>0</v>
      </c>
      <c r="R95">
        <v>1</v>
      </c>
      <c r="S95">
        <v>0</v>
      </c>
      <c r="T95">
        <v>0</v>
      </c>
      <c r="U95">
        <v>0</v>
      </c>
      <c r="V95">
        <v>0</v>
      </c>
      <c r="W95">
        <v>0</v>
      </c>
      <c r="X95">
        <v>0</v>
      </c>
    </row>
    <row r="96" spans="1:24" x14ac:dyDescent="0.3">
      <c r="A96" t="s">
        <v>203</v>
      </c>
      <c r="B96" s="2">
        <v>46282</v>
      </c>
      <c r="C96" s="2">
        <v>46286</v>
      </c>
      <c r="D96" t="s">
        <v>71</v>
      </c>
      <c r="E96" t="s">
        <v>204</v>
      </c>
      <c r="F96" t="s">
        <v>27</v>
      </c>
      <c r="G96">
        <v>10000</v>
      </c>
      <c r="H96">
        <v>105.61</v>
      </c>
      <c r="I96" t="s">
        <v>28</v>
      </c>
      <c r="J96" t="s">
        <v>119</v>
      </c>
      <c r="K96" t="s">
        <v>38</v>
      </c>
      <c r="L96" t="s">
        <v>17</v>
      </c>
      <c r="M96">
        <v>13</v>
      </c>
      <c r="N96" t="s">
        <v>31</v>
      </c>
      <c r="O96" t="s">
        <v>32</v>
      </c>
      <c r="P96">
        <v>0</v>
      </c>
      <c r="Q96">
        <v>0</v>
      </c>
      <c r="R96">
        <v>1</v>
      </c>
      <c r="S96">
        <v>0</v>
      </c>
      <c r="T96">
        <v>0</v>
      </c>
      <c r="U96">
        <v>0</v>
      </c>
      <c r="V96">
        <v>0</v>
      </c>
      <c r="W96">
        <v>0</v>
      </c>
      <c r="X96">
        <v>0</v>
      </c>
    </row>
    <row r="97" spans="1:24" x14ac:dyDescent="0.3">
      <c r="A97" t="s">
        <v>205</v>
      </c>
      <c r="B97" s="2">
        <v>46282</v>
      </c>
      <c r="C97" s="2">
        <v>46280</v>
      </c>
      <c r="D97" t="s">
        <v>206</v>
      </c>
      <c r="E97" t="s">
        <v>123</v>
      </c>
      <c r="F97" t="s">
        <v>27</v>
      </c>
      <c r="G97">
        <v>16500</v>
      </c>
      <c r="H97">
        <v>94.49</v>
      </c>
      <c r="I97" t="s">
        <v>36</v>
      </c>
      <c r="J97" t="s">
        <v>37</v>
      </c>
      <c r="K97" t="s">
        <v>30</v>
      </c>
      <c r="L97" t="s">
        <v>18</v>
      </c>
      <c r="M97">
        <v>13</v>
      </c>
      <c r="N97" t="s">
        <v>31</v>
      </c>
      <c r="O97" t="s">
        <v>32</v>
      </c>
      <c r="P97">
        <v>0</v>
      </c>
      <c r="Q97">
        <v>0</v>
      </c>
      <c r="R97">
        <v>0</v>
      </c>
      <c r="S97">
        <v>1</v>
      </c>
      <c r="T97">
        <v>0</v>
      </c>
      <c r="U97">
        <v>0</v>
      </c>
      <c r="V97">
        <v>0</v>
      </c>
      <c r="W97">
        <v>0</v>
      </c>
      <c r="X97">
        <v>0</v>
      </c>
    </row>
    <row r="98" spans="1:24" x14ac:dyDescent="0.3">
      <c r="A98" t="s">
        <v>207</v>
      </c>
      <c r="B98" s="2">
        <v>46282</v>
      </c>
      <c r="C98" s="2">
        <v>46284</v>
      </c>
      <c r="D98" t="s">
        <v>208</v>
      </c>
      <c r="E98" t="s">
        <v>123</v>
      </c>
      <c r="F98" t="s">
        <v>27</v>
      </c>
      <c r="G98">
        <v>17100</v>
      </c>
      <c r="H98">
        <v>94.54</v>
      </c>
      <c r="I98" t="s">
        <v>36</v>
      </c>
      <c r="J98" t="s">
        <v>60</v>
      </c>
      <c r="K98" t="s">
        <v>38</v>
      </c>
      <c r="L98" t="s">
        <v>19</v>
      </c>
      <c r="M98">
        <v>13</v>
      </c>
      <c r="N98" t="s">
        <v>31</v>
      </c>
      <c r="O98" t="s">
        <v>32</v>
      </c>
      <c r="P98">
        <v>0</v>
      </c>
      <c r="Q98">
        <v>0</v>
      </c>
      <c r="R98">
        <v>0</v>
      </c>
      <c r="S98">
        <v>0</v>
      </c>
      <c r="T98">
        <v>1</v>
      </c>
      <c r="U98">
        <v>0</v>
      </c>
      <c r="V98">
        <v>0</v>
      </c>
      <c r="W98">
        <v>0</v>
      </c>
      <c r="X98">
        <v>0</v>
      </c>
    </row>
    <row r="99" spans="1:24" x14ac:dyDescent="0.3">
      <c r="A99" t="s">
        <v>209</v>
      </c>
      <c r="B99" s="2">
        <v>46282</v>
      </c>
      <c r="C99" s="2">
        <v>46284</v>
      </c>
      <c r="D99" t="s">
        <v>210</v>
      </c>
      <c r="E99" t="s">
        <v>103</v>
      </c>
      <c r="F99" t="s">
        <v>46</v>
      </c>
      <c r="G99">
        <v>16000</v>
      </c>
      <c r="H99">
        <v>103.25</v>
      </c>
      <c r="I99" t="s">
        <v>42</v>
      </c>
      <c r="J99" t="s">
        <v>37</v>
      </c>
      <c r="K99" t="s">
        <v>38</v>
      </c>
      <c r="L99" t="s">
        <v>19</v>
      </c>
      <c r="M99">
        <v>13</v>
      </c>
      <c r="N99" t="s">
        <v>31</v>
      </c>
      <c r="O99" t="s">
        <v>32</v>
      </c>
      <c r="P99">
        <v>0</v>
      </c>
      <c r="Q99">
        <v>0</v>
      </c>
      <c r="R99">
        <v>0</v>
      </c>
      <c r="S99">
        <v>0</v>
      </c>
      <c r="T99">
        <v>1</v>
      </c>
      <c r="U99">
        <v>0</v>
      </c>
      <c r="V99">
        <v>0</v>
      </c>
      <c r="W99">
        <v>0</v>
      </c>
      <c r="X99">
        <v>0</v>
      </c>
    </row>
    <row r="100" spans="1:24" x14ac:dyDescent="0.3">
      <c r="A100" t="s">
        <v>211</v>
      </c>
      <c r="B100" s="2">
        <v>46282</v>
      </c>
      <c r="C100" s="2">
        <v>46286</v>
      </c>
      <c r="D100" t="s">
        <v>212</v>
      </c>
      <c r="E100" t="s">
        <v>92</v>
      </c>
      <c r="F100" t="s">
        <v>46</v>
      </c>
      <c r="G100">
        <v>82600</v>
      </c>
      <c r="H100">
        <v>117</v>
      </c>
      <c r="I100" t="s">
        <v>28</v>
      </c>
      <c r="J100" t="s">
        <v>29</v>
      </c>
      <c r="K100" t="s">
        <v>38</v>
      </c>
      <c r="L100" t="s">
        <v>20</v>
      </c>
      <c r="M100">
        <v>13</v>
      </c>
      <c r="N100" t="s">
        <v>31</v>
      </c>
      <c r="O100" t="s">
        <v>32</v>
      </c>
      <c r="P100">
        <v>0</v>
      </c>
      <c r="Q100">
        <v>0</v>
      </c>
      <c r="R100">
        <v>0</v>
      </c>
      <c r="S100">
        <v>0</v>
      </c>
      <c r="T100">
        <v>0</v>
      </c>
      <c r="U100">
        <v>1</v>
      </c>
      <c r="V100">
        <v>0</v>
      </c>
      <c r="W100">
        <v>0</v>
      </c>
      <c r="X100">
        <v>0</v>
      </c>
    </row>
    <row r="101" spans="1:24" x14ac:dyDescent="0.3">
      <c r="A101" t="s">
        <v>213</v>
      </c>
      <c r="B101" s="2">
        <v>46282</v>
      </c>
      <c r="C101" s="2">
        <v>46286</v>
      </c>
      <c r="D101" t="s">
        <v>214</v>
      </c>
      <c r="E101" t="s">
        <v>103</v>
      </c>
      <c r="F101" t="s">
        <v>46</v>
      </c>
      <c r="G101">
        <v>16000</v>
      </c>
      <c r="H101">
        <v>102.42</v>
      </c>
      <c r="I101" t="s">
        <v>28</v>
      </c>
      <c r="J101" t="s">
        <v>29</v>
      </c>
      <c r="K101" t="s">
        <v>38</v>
      </c>
      <c r="L101" t="s">
        <v>22</v>
      </c>
      <c r="M101">
        <v>13</v>
      </c>
      <c r="N101" t="s">
        <v>31</v>
      </c>
      <c r="O101" t="s">
        <v>32</v>
      </c>
      <c r="P101">
        <v>0</v>
      </c>
      <c r="Q101">
        <v>0</v>
      </c>
      <c r="R101">
        <v>0</v>
      </c>
      <c r="S101">
        <v>0</v>
      </c>
      <c r="T101">
        <v>0</v>
      </c>
      <c r="U101">
        <v>0</v>
      </c>
      <c r="V101">
        <v>0</v>
      </c>
      <c r="W101">
        <v>1</v>
      </c>
      <c r="X101">
        <v>0</v>
      </c>
    </row>
    <row r="102" spans="1:24" x14ac:dyDescent="0.3">
      <c r="A102" t="s">
        <v>215</v>
      </c>
      <c r="B102" s="2">
        <v>46282</v>
      </c>
      <c r="C102" s="2">
        <v>46286</v>
      </c>
      <c r="D102" t="s">
        <v>25</v>
      </c>
      <c r="E102" t="s">
        <v>89</v>
      </c>
      <c r="F102" t="s">
        <v>27</v>
      </c>
      <c r="G102">
        <v>12000</v>
      </c>
      <c r="H102">
        <v>104.33</v>
      </c>
      <c r="I102" t="s">
        <v>42</v>
      </c>
      <c r="J102" t="s">
        <v>50</v>
      </c>
      <c r="K102" t="s">
        <v>38</v>
      </c>
      <c r="L102" t="s">
        <v>22</v>
      </c>
      <c r="M102">
        <v>13</v>
      </c>
      <c r="N102" t="s">
        <v>31</v>
      </c>
      <c r="O102" t="s">
        <v>32</v>
      </c>
      <c r="P102">
        <v>0</v>
      </c>
      <c r="Q102">
        <v>0</v>
      </c>
      <c r="R102">
        <v>0</v>
      </c>
      <c r="S102">
        <v>0</v>
      </c>
      <c r="T102">
        <v>0</v>
      </c>
      <c r="U102">
        <v>0</v>
      </c>
      <c r="V102">
        <v>0</v>
      </c>
      <c r="W102">
        <v>1</v>
      </c>
      <c r="X102">
        <v>0</v>
      </c>
    </row>
    <row r="103" spans="1:24" x14ac:dyDescent="0.3">
      <c r="A103" t="s">
        <v>190</v>
      </c>
      <c r="B103" s="2">
        <v>46282</v>
      </c>
      <c r="C103" s="2">
        <v>46286</v>
      </c>
      <c r="D103" t="s">
        <v>110</v>
      </c>
      <c r="E103" t="s">
        <v>89</v>
      </c>
      <c r="F103" t="s">
        <v>27</v>
      </c>
      <c r="G103">
        <v>5000</v>
      </c>
      <c r="H103">
        <v>104.32</v>
      </c>
      <c r="I103" t="s">
        <v>36</v>
      </c>
      <c r="J103" t="s">
        <v>119</v>
      </c>
      <c r="K103" t="s">
        <v>30</v>
      </c>
      <c r="L103" t="s">
        <v>23</v>
      </c>
      <c r="M103">
        <v>13</v>
      </c>
      <c r="N103" t="s">
        <v>31</v>
      </c>
      <c r="O103" t="s">
        <v>32</v>
      </c>
      <c r="P103">
        <v>0</v>
      </c>
      <c r="Q103">
        <v>0</v>
      </c>
      <c r="R103">
        <v>0</v>
      </c>
      <c r="S103">
        <v>0</v>
      </c>
      <c r="T103">
        <v>0</v>
      </c>
      <c r="U103">
        <v>0</v>
      </c>
      <c r="V103">
        <v>0</v>
      </c>
      <c r="W103">
        <v>0</v>
      </c>
      <c r="X103">
        <v>1</v>
      </c>
    </row>
    <row r="104" spans="1:24" x14ac:dyDescent="0.3">
      <c r="A104" t="s">
        <v>216</v>
      </c>
      <c r="B104" s="2">
        <v>46283</v>
      </c>
      <c r="C104" s="2">
        <v>46287</v>
      </c>
      <c r="D104" t="s">
        <v>99</v>
      </c>
      <c r="E104" t="s">
        <v>111</v>
      </c>
      <c r="F104" t="s">
        <v>46</v>
      </c>
      <c r="G104">
        <v>4000</v>
      </c>
      <c r="H104">
        <v>108.62</v>
      </c>
      <c r="I104" t="s">
        <v>42</v>
      </c>
      <c r="J104" t="s">
        <v>29</v>
      </c>
      <c r="K104" t="s">
        <v>30</v>
      </c>
      <c r="L104" t="s">
        <v>23</v>
      </c>
      <c r="M104">
        <v>12</v>
      </c>
      <c r="N104" t="s">
        <v>31</v>
      </c>
      <c r="O104" t="s">
        <v>32</v>
      </c>
      <c r="P104">
        <v>0</v>
      </c>
      <c r="Q104">
        <v>0</v>
      </c>
      <c r="R104">
        <v>0</v>
      </c>
      <c r="S104">
        <v>0</v>
      </c>
      <c r="T104">
        <v>0</v>
      </c>
      <c r="U104">
        <v>0</v>
      </c>
      <c r="V104">
        <v>0</v>
      </c>
      <c r="W104">
        <v>0</v>
      </c>
      <c r="X104">
        <v>1</v>
      </c>
    </row>
    <row r="105" spans="1:24" x14ac:dyDescent="0.3">
      <c r="A105" t="s">
        <v>217</v>
      </c>
      <c r="B105" s="2">
        <v>46283</v>
      </c>
      <c r="C105" s="2">
        <v>46287</v>
      </c>
      <c r="D105" t="s">
        <v>218</v>
      </c>
      <c r="E105" t="s">
        <v>81</v>
      </c>
      <c r="F105" t="s">
        <v>27</v>
      </c>
      <c r="G105">
        <v>2800</v>
      </c>
      <c r="H105">
        <v>192.16</v>
      </c>
      <c r="I105" t="s">
        <v>42</v>
      </c>
      <c r="J105" t="s">
        <v>60</v>
      </c>
      <c r="K105" t="s">
        <v>30</v>
      </c>
      <c r="L105" t="s">
        <v>16</v>
      </c>
      <c r="M105">
        <v>12</v>
      </c>
      <c r="N105" t="s">
        <v>31</v>
      </c>
      <c r="O105" t="s">
        <v>32</v>
      </c>
      <c r="P105">
        <v>0</v>
      </c>
      <c r="Q105">
        <v>1</v>
      </c>
      <c r="R105">
        <v>0</v>
      </c>
      <c r="S105">
        <v>0</v>
      </c>
      <c r="T105">
        <v>0</v>
      </c>
      <c r="U105">
        <v>0</v>
      </c>
      <c r="V105">
        <v>0</v>
      </c>
      <c r="W105">
        <v>0</v>
      </c>
      <c r="X105">
        <v>0</v>
      </c>
    </row>
    <row r="106" spans="1:24" x14ac:dyDescent="0.3">
      <c r="A106" t="s">
        <v>219</v>
      </c>
      <c r="B106" s="2">
        <v>46283</v>
      </c>
      <c r="C106" s="2">
        <v>46287</v>
      </c>
      <c r="D106" t="s">
        <v>220</v>
      </c>
      <c r="E106" t="s">
        <v>221</v>
      </c>
      <c r="F106" t="s">
        <v>46</v>
      </c>
      <c r="G106">
        <v>35600</v>
      </c>
      <c r="H106">
        <v>96.34</v>
      </c>
      <c r="I106" t="s">
        <v>42</v>
      </c>
      <c r="J106" t="s">
        <v>50</v>
      </c>
      <c r="K106" t="s">
        <v>38</v>
      </c>
      <c r="L106" t="s">
        <v>17</v>
      </c>
      <c r="M106">
        <v>12</v>
      </c>
      <c r="N106" t="s">
        <v>31</v>
      </c>
      <c r="O106" t="s">
        <v>32</v>
      </c>
      <c r="P106">
        <v>0</v>
      </c>
      <c r="Q106">
        <v>0</v>
      </c>
      <c r="R106">
        <v>1</v>
      </c>
      <c r="S106">
        <v>0</v>
      </c>
      <c r="T106">
        <v>0</v>
      </c>
      <c r="U106">
        <v>0</v>
      </c>
      <c r="V106">
        <v>0</v>
      </c>
      <c r="W106">
        <v>0</v>
      </c>
      <c r="X106">
        <v>0</v>
      </c>
    </row>
    <row r="107" spans="1:24" x14ac:dyDescent="0.3">
      <c r="A107" t="s">
        <v>222</v>
      </c>
      <c r="B107" s="2">
        <v>46283</v>
      </c>
      <c r="C107" s="2">
        <v>46281</v>
      </c>
      <c r="D107" t="s">
        <v>220</v>
      </c>
      <c r="E107" t="s">
        <v>64</v>
      </c>
      <c r="F107" t="s">
        <v>46</v>
      </c>
      <c r="G107">
        <v>3000</v>
      </c>
      <c r="H107">
        <v>109.48</v>
      </c>
      <c r="I107" t="s">
        <v>42</v>
      </c>
      <c r="J107" t="s">
        <v>119</v>
      </c>
      <c r="K107" t="s">
        <v>38</v>
      </c>
      <c r="L107" t="s">
        <v>18</v>
      </c>
      <c r="M107">
        <v>12</v>
      </c>
      <c r="N107" t="s">
        <v>31</v>
      </c>
      <c r="O107" t="s">
        <v>32</v>
      </c>
      <c r="P107">
        <v>0</v>
      </c>
      <c r="Q107">
        <v>0</v>
      </c>
      <c r="R107">
        <v>0</v>
      </c>
      <c r="S107">
        <v>1</v>
      </c>
      <c r="T107">
        <v>0</v>
      </c>
      <c r="U107">
        <v>0</v>
      </c>
      <c r="V107">
        <v>0</v>
      </c>
      <c r="W107">
        <v>0</v>
      </c>
      <c r="X107">
        <v>0</v>
      </c>
    </row>
    <row r="108" spans="1:24" x14ac:dyDescent="0.3">
      <c r="A108" t="s">
        <v>223</v>
      </c>
      <c r="B108" s="2">
        <v>46283</v>
      </c>
      <c r="C108" s="2">
        <v>46284</v>
      </c>
      <c r="D108" t="s">
        <v>206</v>
      </c>
      <c r="E108" t="s">
        <v>59</v>
      </c>
      <c r="F108" t="s">
        <v>27</v>
      </c>
      <c r="G108">
        <v>6000</v>
      </c>
      <c r="H108">
        <v>106.16</v>
      </c>
      <c r="I108" t="s">
        <v>36</v>
      </c>
      <c r="J108" t="s">
        <v>50</v>
      </c>
      <c r="K108" t="s">
        <v>38</v>
      </c>
      <c r="L108" t="s">
        <v>19</v>
      </c>
      <c r="M108">
        <v>12</v>
      </c>
      <c r="N108" t="s">
        <v>31</v>
      </c>
      <c r="O108" t="s">
        <v>32</v>
      </c>
      <c r="P108">
        <v>0</v>
      </c>
      <c r="Q108">
        <v>0</v>
      </c>
      <c r="R108">
        <v>0</v>
      </c>
      <c r="S108">
        <v>0</v>
      </c>
      <c r="T108">
        <v>1</v>
      </c>
      <c r="U108">
        <v>0</v>
      </c>
      <c r="V108">
        <v>0</v>
      </c>
      <c r="W108">
        <v>0</v>
      </c>
      <c r="X108">
        <v>0</v>
      </c>
    </row>
    <row r="109" spans="1:24" x14ac:dyDescent="0.3">
      <c r="A109" t="s">
        <v>224</v>
      </c>
      <c r="B109" s="2">
        <v>46283</v>
      </c>
      <c r="C109" s="2">
        <v>46287</v>
      </c>
      <c r="D109" t="s">
        <v>80</v>
      </c>
      <c r="E109" t="s">
        <v>165</v>
      </c>
      <c r="F109" t="s">
        <v>27</v>
      </c>
      <c r="G109">
        <v>125000</v>
      </c>
      <c r="H109">
        <v>170.88</v>
      </c>
      <c r="I109" t="s">
        <v>42</v>
      </c>
      <c r="J109" t="s">
        <v>119</v>
      </c>
      <c r="K109" t="s">
        <v>30</v>
      </c>
      <c r="L109" t="s">
        <v>20</v>
      </c>
      <c r="M109">
        <v>12</v>
      </c>
      <c r="N109" t="s">
        <v>31</v>
      </c>
      <c r="O109" t="s">
        <v>32</v>
      </c>
      <c r="P109">
        <v>0</v>
      </c>
      <c r="Q109">
        <v>0</v>
      </c>
      <c r="R109">
        <v>0</v>
      </c>
      <c r="S109">
        <v>0</v>
      </c>
      <c r="T109">
        <v>0</v>
      </c>
      <c r="U109">
        <v>1</v>
      </c>
      <c r="V109">
        <v>0</v>
      </c>
      <c r="W109">
        <v>0</v>
      </c>
      <c r="X109">
        <v>0</v>
      </c>
    </row>
    <row r="110" spans="1:24" x14ac:dyDescent="0.3">
      <c r="A110" t="s">
        <v>225</v>
      </c>
      <c r="B110" s="2">
        <v>46283</v>
      </c>
      <c r="C110" s="2">
        <v>46287</v>
      </c>
      <c r="D110" t="s">
        <v>113</v>
      </c>
      <c r="E110" t="s">
        <v>85</v>
      </c>
      <c r="F110" t="s">
        <v>46</v>
      </c>
      <c r="G110">
        <v>14800</v>
      </c>
      <c r="H110">
        <v>92.01</v>
      </c>
      <c r="I110" t="s">
        <v>42</v>
      </c>
      <c r="J110" t="s">
        <v>37</v>
      </c>
      <c r="K110" t="s">
        <v>38</v>
      </c>
      <c r="L110" t="s">
        <v>21</v>
      </c>
      <c r="M110">
        <v>12</v>
      </c>
      <c r="N110" t="s">
        <v>31</v>
      </c>
      <c r="O110" t="s">
        <v>32</v>
      </c>
      <c r="P110">
        <v>0</v>
      </c>
      <c r="Q110">
        <v>0</v>
      </c>
      <c r="R110">
        <v>0</v>
      </c>
      <c r="S110">
        <v>0</v>
      </c>
      <c r="T110">
        <v>0</v>
      </c>
      <c r="U110">
        <v>0</v>
      </c>
      <c r="V110">
        <v>1</v>
      </c>
      <c r="W110">
        <v>0</v>
      </c>
      <c r="X110">
        <v>0</v>
      </c>
    </row>
    <row r="111" spans="1:24" x14ac:dyDescent="0.3">
      <c r="A111" t="s">
        <v>226</v>
      </c>
      <c r="B111" s="2">
        <v>46283</v>
      </c>
      <c r="C111" s="2">
        <v>46287</v>
      </c>
      <c r="D111" t="s">
        <v>63</v>
      </c>
      <c r="E111" t="s">
        <v>74</v>
      </c>
      <c r="F111" t="s">
        <v>27</v>
      </c>
      <c r="G111">
        <v>6000</v>
      </c>
      <c r="H111">
        <v>95.93</v>
      </c>
      <c r="I111" t="s">
        <v>36</v>
      </c>
      <c r="J111" t="s">
        <v>37</v>
      </c>
      <c r="K111" t="s">
        <v>30</v>
      </c>
      <c r="L111" t="s">
        <v>22</v>
      </c>
      <c r="M111">
        <v>12</v>
      </c>
      <c r="N111" t="s">
        <v>31</v>
      </c>
      <c r="O111" t="s">
        <v>32</v>
      </c>
      <c r="P111">
        <v>0</v>
      </c>
      <c r="Q111">
        <v>0</v>
      </c>
      <c r="R111">
        <v>0</v>
      </c>
      <c r="S111">
        <v>0</v>
      </c>
      <c r="T111">
        <v>0</v>
      </c>
      <c r="U111">
        <v>0</v>
      </c>
      <c r="V111">
        <v>0</v>
      </c>
      <c r="W111">
        <v>1</v>
      </c>
      <c r="X111">
        <v>0</v>
      </c>
    </row>
    <row r="112" spans="1:24" x14ac:dyDescent="0.3">
      <c r="A112" t="s">
        <v>216</v>
      </c>
      <c r="B112" s="2">
        <v>46283</v>
      </c>
      <c r="C112" s="2">
        <v>46287</v>
      </c>
      <c r="D112" t="s">
        <v>99</v>
      </c>
      <c r="E112" t="s">
        <v>111</v>
      </c>
      <c r="F112" t="s">
        <v>46</v>
      </c>
      <c r="G112">
        <v>4000</v>
      </c>
      <c r="H112">
        <v>108.62</v>
      </c>
      <c r="I112" t="s">
        <v>42</v>
      </c>
      <c r="J112" t="s">
        <v>29</v>
      </c>
      <c r="K112" t="s">
        <v>30</v>
      </c>
      <c r="L112" t="s">
        <v>23</v>
      </c>
      <c r="M112">
        <v>12</v>
      </c>
      <c r="N112" t="s">
        <v>31</v>
      </c>
      <c r="O112" t="s">
        <v>32</v>
      </c>
      <c r="P112">
        <v>0</v>
      </c>
      <c r="Q112">
        <v>0</v>
      </c>
      <c r="R112">
        <v>0</v>
      </c>
      <c r="S112">
        <v>0</v>
      </c>
      <c r="T112">
        <v>0</v>
      </c>
      <c r="U112">
        <v>0</v>
      </c>
      <c r="V112">
        <v>0</v>
      </c>
      <c r="W112">
        <v>0</v>
      </c>
      <c r="X112">
        <v>1</v>
      </c>
    </row>
    <row r="113" spans="1:24" x14ac:dyDescent="0.3">
      <c r="A113" t="s">
        <v>227</v>
      </c>
      <c r="B113" s="2">
        <v>46286</v>
      </c>
      <c r="C113" s="2">
        <v>46288</v>
      </c>
      <c r="D113" t="s">
        <v>55</v>
      </c>
      <c r="E113" t="s">
        <v>127</v>
      </c>
      <c r="F113" t="s">
        <v>27</v>
      </c>
      <c r="G113">
        <v>4000</v>
      </c>
      <c r="H113">
        <v>103.01</v>
      </c>
      <c r="I113" t="s">
        <v>36</v>
      </c>
      <c r="J113" t="s">
        <v>37</v>
      </c>
      <c r="K113" t="s">
        <v>38</v>
      </c>
      <c r="L113" t="s">
        <v>23</v>
      </c>
      <c r="M113">
        <v>9</v>
      </c>
      <c r="N113" t="s">
        <v>228</v>
      </c>
      <c r="O113" t="s">
        <v>229</v>
      </c>
      <c r="P113">
        <v>0</v>
      </c>
      <c r="Q113">
        <v>0</v>
      </c>
      <c r="R113">
        <v>0</v>
      </c>
      <c r="S113">
        <v>0</v>
      </c>
      <c r="T113">
        <v>0</v>
      </c>
      <c r="U113">
        <v>0</v>
      </c>
      <c r="V113">
        <v>0</v>
      </c>
      <c r="W113">
        <v>0</v>
      </c>
      <c r="X113">
        <v>1</v>
      </c>
    </row>
    <row r="114" spans="1:24" x14ac:dyDescent="0.3">
      <c r="A114" t="s">
        <v>230</v>
      </c>
      <c r="B114" s="2">
        <v>46286</v>
      </c>
      <c r="C114" s="2">
        <v>46288</v>
      </c>
      <c r="D114" t="s">
        <v>231</v>
      </c>
      <c r="E114" t="s">
        <v>35</v>
      </c>
      <c r="F114" t="s">
        <v>46</v>
      </c>
      <c r="G114">
        <v>29600</v>
      </c>
      <c r="H114">
        <v>147.24</v>
      </c>
      <c r="I114" t="s">
        <v>36</v>
      </c>
      <c r="J114" t="s">
        <v>119</v>
      </c>
      <c r="K114" t="s">
        <v>30</v>
      </c>
      <c r="L114" t="s">
        <v>23</v>
      </c>
      <c r="M114">
        <v>9</v>
      </c>
      <c r="N114" t="s">
        <v>228</v>
      </c>
      <c r="O114" t="s">
        <v>229</v>
      </c>
      <c r="P114">
        <v>0</v>
      </c>
      <c r="Q114">
        <v>0</v>
      </c>
      <c r="R114">
        <v>0</v>
      </c>
      <c r="S114">
        <v>0</v>
      </c>
      <c r="T114">
        <v>0</v>
      </c>
      <c r="U114">
        <v>0</v>
      </c>
      <c r="V114">
        <v>0</v>
      </c>
      <c r="W114">
        <v>0</v>
      </c>
      <c r="X114">
        <v>1</v>
      </c>
    </row>
    <row r="115" spans="1:24" x14ac:dyDescent="0.3">
      <c r="A115" t="s">
        <v>232</v>
      </c>
      <c r="B115" s="2">
        <v>46286</v>
      </c>
      <c r="C115" s="2">
        <v>46288</v>
      </c>
      <c r="D115" t="s">
        <v>206</v>
      </c>
      <c r="E115" t="s">
        <v>165</v>
      </c>
      <c r="F115" t="s">
        <v>27</v>
      </c>
      <c r="G115">
        <v>37900</v>
      </c>
      <c r="H115">
        <v>177.36</v>
      </c>
      <c r="I115" t="s">
        <v>42</v>
      </c>
      <c r="J115" t="s">
        <v>37</v>
      </c>
      <c r="K115" t="s">
        <v>30</v>
      </c>
      <c r="L115" t="s">
        <v>23</v>
      </c>
      <c r="M115">
        <v>9</v>
      </c>
      <c r="N115" t="s">
        <v>228</v>
      </c>
      <c r="O115" t="s">
        <v>229</v>
      </c>
      <c r="P115">
        <v>0</v>
      </c>
      <c r="Q115">
        <v>0</v>
      </c>
      <c r="R115">
        <v>0</v>
      </c>
      <c r="S115">
        <v>0</v>
      </c>
      <c r="T115">
        <v>0</v>
      </c>
      <c r="U115">
        <v>0</v>
      </c>
      <c r="V115">
        <v>0</v>
      </c>
      <c r="W115">
        <v>0</v>
      </c>
      <c r="X115">
        <v>1</v>
      </c>
    </row>
    <row r="116" spans="1:24" x14ac:dyDescent="0.3">
      <c r="A116" t="s">
        <v>233</v>
      </c>
      <c r="B116" s="2">
        <v>46286</v>
      </c>
      <c r="C116" s="2">
        <v>46288</v>
      </c>
      <c r="D116" t="s">
        <v>176</v>
      </c>
      <c r="E116" t="s">
        <v>101</v>
      </c>
      <c r="F116" t="s">
        <v>27</v>
      </c>
      <c r="G116">
        <v>30200</v>
      </c>
      <c r="I116" t="s">
        <v>28</v>
      </c>
      <c r="J116" t="s">
        <v>119</v>
      </c>
      <c r="K116" t="s">
        <v>38</v>
      </c>
      <c r="L116" t="s">
        <v>15</v>
      </c>
      <c r="M116">
        <v>9</v>
      </c>
      <c r="N116" t="s">
        <v>228</v>
      </c>
      <c r="O116" t="s">
        <v>229</v>
      </c>
      <c r="P116">
        <v>1</v>
      </c>
      <c r="Q116">
        <v>0</v>
      </c>
      <c r="R116">
        <v>0</v>
      </c>
      <c r="S116">
        <v>0</v>
      </c>
      <c r="T116">
        <v>0</v>
      </c>
      <c r="U116">
        <v>0</v>
      </c>
      <c r="V116">
        <v>0</v>
      </c>
      <c r="W116">
        <v>0</v>
      </c>
      <c r="X116">
        <v>0</v>
      </c>
    </row>
    <row r="117" spans="1:24" x14ac:dyDescent="0.3">
      <c r="A117" t="s">
        <v>234</v>
      </c>
      <c r="B117" s="2">
        <v>46286</v>
      </c>
      <c r="C117" s="2">
        <v>46288</v>
      </c>
      <c r="D117" t="s">
        <v>84</v>
      </c>
      <c r="E117" t="s">
        <v>26</v>
      </c>
      <c r="F117" t="s">
        <v>27</v>
      </c>
      <c r="H117">
        <v>106.2</v>
      </c>
      <c r="I117" t="s">
        <v>28</v>
      </c>
      <c r="J117" t="s">
        <v>29</v>
      </c>
      <c r="K117" t="s">
        <v>30</v>
      </c>
      <c r="L117" t="s">
        <v>15</v>
      </c>
      <c r="M117">
        <v>9</v>
      </c>
      <c r="N117" t="s">
        <v>228</v>
      </c>
      <c r="O117" t="s">
        <v>229</v>
      </c>
      <c r="P117">
        <v>1</v>
      </c>
      <c r="Q117">
        <v>0</v>
      </c>
      <c r="R117">
        <v>0</v>
      </c>
      <c r="S117">
        <v>0</v>
      </c>
      <c r="T117">
        <v>0</v>
      </c>
      <c r="U117">
        <v>0</v>
      </c>
      <c r="V117">
        <v>0</v>
      </c>
      <c r="W117">
        <v>0</v>
      </c>
      <c r="X117">
        <v>0</v>
      </c>
    </row>
    <row r="118" spans="1:24" x14ac:dyDescent="0.3">
      <c r="A118" t="s">
        <v>235</v>
      </c>
      <c r="B118" s="2">
        <v>46286</v>
      </c>
      <c r="C118" s="2">
        <v>46288</v>
      </c>
      <c r="D118" t="s">
        <v>220</v>
      </c>
      <c r="E118" t="s">
        <v>236</v>
      </c>
      <c r="F118" t="s">
        <v>27</v>
      </c>
      <c r="G118">
        <v>3000</v>
      </c>
      <c r="H118">
        <v>107.36</v>
      </c>
      <c r="I118" t="s">
        <v>28</v>
      </c>
      <c r="J118" t="s">
        <v>60</v>
      </c>
      <c r="K118" t="s">
        <v>38</v>
      </c>
      <c r="L118" t="s">
        <v>17</v>
      </c>
      <c r="M118">
        <v>9</v>
      </c>
      <c r="N118" t="s">
        <v>228</v>
      </c>
      <c r="O118" t="s">
        <v>229</v>
      </c>
      <c r="P118">
        <v>0</v>
      </c>
      <c r="Q118">
        <v>0</v>
      </c>
      <c r="R118">
        <v>1</v>
      </c>
      <c r="S118">
        <v>0</v>
      </c>
      <c r="T118">
        <v>0</v>
      </c>
      <c r="U118">
        <v>0</v>
      </c>
      <c r="V118">
        <v>0</v>
      </c>
      <c r="W118">
        <v>0</v>
      </c>
      <c r="X118">
        <v>0</v>
      </c>
    </row>
    <row r="119" spans="1:24" x14ac:dyDescent="0.3">
      <c r="A119" t="s">
        <v>237</v>
      </c>
      <c r="B119" s="2">
        <v>46286</v>
      </c>
      <c r="C119" s="2">
        <v>46288</v>
      </c>
      <c r="D119" t="s">
        <v>134</v>
      </c>
      <c r="E119" t="s">
        <v>238</v>
      </c>
      <c r="F119" t="s">
        <v>27</v>
      </c>
      <c r="G119">
        <v>26900</v>
      </c>
      <c r="H119">
        <v>143.32</v>
      </c>
      <c r="I119" t="s">
        <v>36</v>
      </c>
      <c r="J119" t="s">
        <v>50</v>
      </c>
      <c r="K119" t="s">
        <v>38</v>
      </c>
      <c r="L119" t="s">
        <v>17</v>
      </c>
      <c r="M119">
        <v>9</v>
      </c>
      <c r="N119" t="s">
        <v>228</v>
      </c>
      <c r="O119" t="s">
        <v>229</v>
      </c>
      <c r="P119">
        <v>0</v>
      </c>
      <c r="Q119">
        <v>0</v>
      </c>
      <c r="R119">
        <v>1</v>
      </c>
      <c r="S119">
        <v>0</v>
      </c>
      <c r="T119">
        <v>0</v>
      </c>
      <c r="U119">
        <v>0</v>
      </c>
      <c r="V119">
        <v>0</v>
      </c>
      <c r="W119">
        <v>0</v>
      </c>
      <c r="X119">
        <v>0</v>
      </c>
    </row>
    <row r="120" spans="1:24" x14ac:dyDescent="0.3">
      <c r="A120" t="s">
        <v>239</v>
      </c>
      <c r="B120" s="2">
        <v>46286</v>
      </c>
      <c r="C120" s="2">
        <v>46284</v>
      </c>
      <c r="D120" t="s">
        <v>138</v>
      </c>
      <c r="E120" t="s">
        <v>92</v>
      </c>
      <c r="F120" t="s">
        <v>46</v>
      </c>
      <c r="G120">
        <v>29600</v>
      </c>
      <c r="H120">
        <v>115.48</v>
      </c>
      <c r="I120" t="s">
        <v>28</v>
      </c>
      <c r="J120" t="s">
        <v>50</v>
      </c>
      <c r="K120" t="s">
        <v>38</v>
      </c>
      <c r="L120" t="s">
        <v>61</v>
      </c>
      <c r="M120">
        <v>9</v>
      </c>
      <c r="N120" t="s">
        <v>228</v>
      </c>
      <c r="O120" t="s">
        <v>229</v>
      </c>
      <c r="P120">
        <v>0</v>
      </c>
      <c r="Q120">
        <v>0</v>
      </c>
      <c r="R120">
        <v>0</v>
      </c>
      <c r="S120">
        <v>1</v>
      </c>
      <c r="T120">
        <v>1</v>
      </c>
      <c r="U120">
        <v>0</v>
      </c>
      <c r="V120">
        <v>0</v>
      </c>
      <c r="W120">
        <v>0</v>
      </c>
      <c r="X120">
        <v>0</v>
      </c>
    </row>
    <row r="121" spans="1:24" x14ac:dyDescent="0.3">
      <c r="A121" t="s">
        <v>240</v>
      </c>
      <c r="B121" s="2">
        <v>46286</v>
      </c>
      <c r="C121" s="2">
        <v>46291</v>
      </c>
      <c r="D121" t="s">
        <v>132</v>
      </c>
      <c r="E121" t="s">
        <v>188</v>
      </c>
      <c r="F121" t="s">
        <v>46</v>
      </c>
      <c r="G121">
        <v>9400</v>
      </c>
      <c r="H121">
        <v>98.6</v>
      </c>
      <c r="I121" t="s">
        <v>42</v>
      </c>
      <c r="J121" t="s">
        <v>60</v>
      </c>
      <c r="K121" t="s">
        <v>30</v>
      </c>
      <c r="L121" t="s">
        <v>19</v>
      </c>
      <c r="M121">
        <v>9</v>
      </c>
      <c r="N121" t="s">
        <v>228</v>
      </c>
      <c r="O121" t="s">
        <v>229</v>
      </c>
      <c r="P121">
        <v>0</v>
      </c>
      <c r="Q121">
        <v>0</v>
      </c>
      <c r="R121">
        <v>0</v>
      </c>
      <c r="S121">
        <v>0</v>
      </c>
      <c r="T121">
        <v>1</v>
      </c>
      <c r="U121">
        <v>0</v>
      </c>
      <c r="V121">
        <v>0</v>
      </c>
      <c r="W121">
        <v>0</v>
      </c>
      <c r="X121">
        <v>0</v>
      </c>
    </row>
    <row r="122" spans="1:24" x14ac:dyDescent="0.3">
      <c r="A122" t="s">
        <v>241</v>
      </c>
      <c r="B122" s="2">
        <v>46286</v>
      </c>
      <c r="C122" s="2">
        <v>46288</v>
      </c>
      <c r="D122" t="s">
        <v>206</v>
      </c>
      <c r="E122" t="s">
        <v>242</v>
      </c>
      <c r="F122" t="s">
        <v>46</v>
      </c>
      <c r="G122">
        <v>78100</v>
      </c>
      <c r="H122">
        <v>77.52</v>
      </c>
      <c r="I122" t="s">
        <v>42</v>
      </c>
      <c r="J122" t="s">
        <v>50</v>
      </c>
      <c r="K122" t="s">
        <v>38</v>
      </c>
      <c r="L122" t="s">
        <v>20</v>
      </c>
      <c r="M122">
        <v>9</v>
      </c>
      <c r="N122" t="s">
        <v>228</v>
      </c>
      <c r="O122" t="s">
        <v>229</v>
      </c>
      <c r="P122">
        <v>0</v>
      </c>
      <c r="Q122">
        <v>0</v>
      </c>
      <c r="R122">
        <v>0</v>
      </c>
      <c r="S122">
        <v>0</v>
      </c>
      <c r="T122">
        <v>0</v>
      </c>
      <c r="U122">
        <v>1</v>
      </c>
      <c r="V122">
        <v>0</v>
      </c>
      <c r="W122">
        <v>0</v>
      </c>
      <c r="X122">
        <v>0</v>
      </c>
    </row>
    <row r="123" spans="1:24" x14ac:dyDescent="0.3">
      <c r="A123" t="s">
        <v>243</v>
      </c>
      <c r="B123" s="2">
        <v>46286</v>
      </c>
      <c r="C123" s="2">
        <v>46288</v>
      </c>
      <c r="D123" t="s">
        <v>99</v>
      </c>
      <c r="E123" t="s">
        <v>103</v>
      </c>
      <c r="F123" t="s">
        <v>27</v>
      </c>
      <c r="G123">
        <v>57600</v>
      </c>
      <c r="H123">
        <v>106.95</v>
      </c>
      <c r="I123" t="s">
        <v>42</v>
      </c>
      <c r="J123" t="s">
        <v>37</v>
      </c>
      <c r="K123" t="s">
        <v>38</v>
      </c>
      <c r="L123" t="s">
        <v>20</v>
      </c>
      <c r="M123">
        <v>9</v>
      </c>
      <c r="N123" t="s">
        <v>228</v>
      </c>
      <c r="O123" t="s">
        <v>229</v>
      </c>
      <c r="P123">
        <v>0</v>
      </c>
      <c r="Q123">
        <v>0</v>
      </c>
      <c r="R123">
        <v>0</v>
      </c>
      <c r="S123">
        <v>0</v>
      </c>
      <c r="T123">
        <v>0</v>
      </c>
      <c r="U123">
        <v>1</v>
      </c>
      <c r="V123">
        <v>0</v>
      </c>
      <c r="W123">
        <v>0</v>
      </c>
      <c r="X123">
        <v>0</v>
      </c>
    </row>
    <row r="124" spans="1:24" x14ac:dyDescent="0.3">
      <c r="A124" t="s">
        <v>244</v>
      </c>
      <c r="B124" s="2">
        <v>46286</v>
      </c>
      <c r="C124" s="2">
        <v>46288</v>
      </c>
      <c r="D124" t="s">
        <v>105</v>
      </c>
      <c r="E124" t="s">
        <v>69</v>
      </c>
      <c r="F124" t="s">
        <v>27</v>
      </c>
      <c r="G124">
        <v>10000</v>
      </c>
      <c r="H124">
        <v>99.79</v>
      </c>
      <c r="I124" t="s">
        <v>36</v>
      </c>
      <c r="J124" t="s">
        <v>37</v>
      </c>
      <c r="K124" t="s">
        <v>38</v>
      </c>
      <c r="L124" t="s">
        <v>22</v>
      </c>
      <c r="M124">
        <v>9</v>
      </c>
      <c r="N124" t="s">
        <v>228</v>
      </c>
      <c r="O124" t="s">
        <v>229</v>
      </c>
      <c r="P124">
        <v>0</v>
      </c>
      <c r="Q124">
        <v>0</v>
      </c>
      <c r="R124">
        <v>0</v>
      </c>
      <c r="S124">
        <v>0</v>
      </c>
      <c r="T124">
        <v>0</v>
      </c>
      <c r="U124">
        <v>0</v>
      </c>
      <c r="V124">
        <v>0</v>
      </c>
      <c r="W124">
        <v>1</v>
      </c>
      <c r="X124">
        <v>0</v>
      </c>
    </row>
    <row r="125" spans="1:24" x14ac:dyDescent="0.3">
      <c r="A125" t="s">
        <v>232</v>
      </c>
      <c r="B125" s="2">
        <v>46286</v>
      </c>
      <c r="C125" s="2">
        <v>46288</v>
      </c>
      <c r="D125" t="s">
        <v>206</v>
      </c>
      <c r="E125" t="s">
        <v>165</v>
      </c>
      <c r="F125" t="s">
        <v>27</v>
      </c>
      <c r="G125">
        <v>37900</v>
      </c>
      <c r="H125">
        <v>177.36</v>
      </c>
      <c r="I125" t="s">
        <v>42</v>
      </c>
      <c r="J125" t="s">
        <v>37</v>
      </c>
      <c r="K125" t="s">
        <v>30</v>
      </c>
      <c r="L125" t="s">
        <v>23</v>
      </c>
      <c r="M125">
        <v>9</v>
      </c>
      <c r="N125" t="s">
        <v>228</v>
      </c>
      <c r="O125" t="s">
        <v>229</v>
      </c>
      <c r="P125">
        <v>0</v>
      </c>
      <c r="Q125">
        <v>0</v>
      </c>
      <c r="R125">
        <v>0</v>
      </c>
      <c r="S125">
        <v>0</v>
      </c>
      <c r="T125">
        <v>0</v>
      </c>
      <c r="U125">
        <v>0</v>
      </c>
      <c r="V125">
        <v>0</v>
      </c>
      <c r="W125">
        <v>0</v>
      </c>
      <c r="X125">
        <v>1</v>
      </c>
    </row>
    <row r="126" spans="1:24" x14ac:dyDescent="0.3">
      <c r="A126" t="s">
        <v>227</v>
      </c>
      <c r="B126" s="2">
        <v>46286</v>
      </c>
      <c r="C126" s="2">
        <v>46288</v>
      </c>
      <c r="D126" t="s">
        <v>55</v>
      </c>
      <c r="E126" t="s">
        <v>127</v>
      </c>
      <c r="F126" t="s">
        <v>27</v>
      </c>
      <c r="G126">
        <v>4000</v>
      </c>
      <c r="H126">
        <v>103.01</v>
      </c>
      <c r="I126" t="s">
        <v>36</v>
      </c>
      <c r="J126" t="s">
        <v>37</v>
      </c>
      <c r="K126" t="s">
        <v>38</v>
      </c>
      <c r="L126" t="s">
        <v>23</v>
      </c>
      <c r="M126">
        <v>9</v>
      </c>
      <c r="N126" t="s">
        <v>228</v>
      </c>
      <c r="O126" t="s">
        <v>229</v>
      </c>
      <c r="P126">
        <v>0</v>
      </c>
      <c r="Q126">
        <v>0</v>
      </c>
      <c r="R126">
        <v>0</v>
      </c>
      <c r="S126">
        <v>0</v>
      </c>
      <c r="T126">
        <v>0</v>
      </c>
      <c r="U126">
        <v>0</v>
      </c>
      <c r="V126">
        <v>0</v>
      </c>
      <c r="W126">
        <v>0</v>
      </c>
      <c r="X126">
        <v>1</v>
      </c>
    </row>
    <row r="127" spans="1:24" x14ac:dyDescent="0.3">
      <c r="A127" t="s">
        <v>230</v>
      </c>
      <c r="B127" s="2">
        <v>46286</v>
      </c>
      <c r="C127" s="2">
        <v>46288</v>
      </c>
      <c r="D127" t="s">
        <v>231</v>
      </c>
      <c r="E127" t="s">
        <v>35</v>
      </c>
      <c r="F127" t="s">
        <v>46</v>
      </c>
      <c r="G127">
        <v>29600</v>
      </c>
      <c r="H127">
        <v>147.24</v>
      </c>
      <c r="I127" t="s">
        <v>36</v>
      </c>
      <c r="J127" t="s">
        <v>119</v>
      </c>
      <c r="K127" t="s">
        <v>30</v>
      </c>
      <c r="L127" t="s">
        <v>23</v>
      </c>
      <c r="M127">
        <v>9</v>
      </c>
      <c r="N127" t="s">
        <v>228</v>
      </c>
      <c r="O127" t="s">
        <v>229</v>
      </c>
      <c r="P127">
        <v>0</v>
      </c>
      <c r="Q127">
        <v>0</v>
      </c>
      <c r="R127">
        <v>0</v>
      </c>
      <c r="S127">
        <v>0</v>
      </c>
      <c r="T127">
        <v>0</v>
      </c>
      <c r="U127">
        <v>0</v>
      </c>
      <c r="V127">
        <v>0</v>
      </c>
      <c r="W127">
        <v>0</v>
      </c>
      <c r="X127">
        <v>1</v>
      </c>
    </row>
    <row r="128" spans="1:24" x14ac:dyDescent="0.3">
      <c r="A128" t="s">
        <v>245</v>
      </c>
      <c r="B128" s="2">
        <v>46287</v>
      </c>
      <c r="C128" s="2">
        <v>46289</v>
      </c>
      <c r="D128" t="s">
        <v>71</v>
      </c>
      <c r="E128" t="s">
        <v>89</v>
      </c>
      <c r="F128" t="s">
        <v>27</v>
      </c>
      <c r="G128">
        <v>15000</v>
      </c>
      <c r="H128">
        <v>107.21</v>
      </c>
      <c r="I128" t="s">
        <v>36</v>
      </c>
      <c r="J128" t="s">
        <v>37</v>
      </c>
      <c r="K128" t="s">
        <v>30</v>
      </c>
      <c r="L128" t="s">
        <v>23</v>
      </c>
      <c r="M128">
        <v>8</v>
      </c>
      <c r="N128" t="s">
        <v>228</v>
      </c>
      <c r="O128" t="s">
        <v>229</v>
      </c>
      <c r="P128">
        <v>0</v>
      </c>
      <c r="Q128">
        <v>0</v>
      </c>
      <c r="R128">
        <v>0</v>
      </c>
      <c r="S128">
        <v>0</v>
      </c>
      <c r="T128">
        <v>0</v>
      </c>
      <c r="U128">
        <v>0</v>
      </c>
      <c r="V128">
        <v>0</v>
      </c>
      <c r="W128">
        <v>0</v>
      </c>
      <c r="X128">
        <v>1</v>
      </c>
    </row>
    <row r="129" spans="1:24" x14ac:dyDescent="0.3">
      <c r="A129" t="s">
        <v>246</v>
      </c>
      <c r="B129" s="2">
        <v>46287</v>
      </c>
      <c r="C129" s="2">
        <v>46289</v>
      </c>
      <c r="E129" t="s">
        <v>165</v>
      </c>
      <c r="F129" t="s">
        <v>27</v>
      </c>
      <c r="G129">
        <v>4300</v>
      </c>
      <c r="H129">
        <v>169.49</v>
      </c>
      <c r="I129" t="s">
        <v>42</v>
      </c>
      <c r="J129" t="s">
        <v>60</v>
      </c>
      <c r="K129" t="s">
        <v>38</v>
      </c>
      <c r="L129" t="s">
        <v>15</v>
      </c>
      <c r="M129">
        <v>8</v>
      </c>
      <c r="N129" t="s">
        <v>228</v>
      </c>
      <c r="O129" t="s">
        <v>229</v>
      </c>
      <c r="P129">
        <v>1</v>
      </c>
      <c r="Q129">
        <v>0</v>
      </c>
      <c r="R129">
        <v>0</v>
      </c>
      <c r="S129">
        <v>0</v>
      </c>
      <c r="T129">
        <v>0</v>
      </c>
      <c r="U129">
        <v>0</v>
      </c>
      <c r="V129">
        <v>0</v>
      </c>
      <c r="W129">
        <v>0</v>
      </c>
      <c r="X129">
        <v>0</v>
      </c>
    </row>
    <row r="130" spans="1:24" x14ac:dyDescent="0.3">
      <c r="A130" t="s">
        <v>247</v>
      </c>
      <c r="B130" s="2">
        <v>46287</v>
      </c>
      <c r="C130" s="2">
        <v>46289</v>
      </c>
      <c r="D130" t="s">
        <v>248</v>
      </c>
      <c r="E130" t="s">
        <v>53</v>
      </c>
      <c r="F130" t="s">
        <v>46</v>
      </c>
      <c r="H130">
        <v>93.08</v>
      </c>
      <c r="I130" t="s">
        <v>42</v>
      </c>
      <c r="J130" t="s">
        <v>60</v>
      </c>
      <c r="K130" t="s">
        <v>38</v>
      </c>
      <c r="L130" t="s">
        <v>15</v>
      </c>
      <c r="M130">
        <v>8</v>
      </c>
      <c r="N130" t="s">
        <v>228</v>
      </c>
      <c r="O130" t="s">
        <v>229</v>
      </c>
      <c r="P130">
        <v>1</v>
      </c>
      <c r="Q130">
        <v>0</v>
      </c>
      <c r="R130">
        <v>0</v>
      </c>
      <c r="S130">
        <v>0</v>
      </c>
      <c r="T130">
        <v>0</v>
      </c>
      <c r="U130">
        <v>0</v>
      </c>
      <c r="V130">
        <v>0</v>
      </c>
      <c r="W130">
        <v>0</v>
      </c>
      <c r="X130">
        <v>0</v>
      </c>
    </row>
    <row r="131" spans="1:24" x14ac:dyDescent="0.3">
      <c r="A131" t="s">
        <v>249</v>
      </c>
      <c r="B131" s="2">
        <v>46287</v>
      </c>
      <c r="C131" s="2">
        <v>46289</v>
      </c>
      <c r="D131" t="s">
        <v>107</v>
      </c>
      <c r="E131" t="s">
        <v>221</v>
      </c>
      <c r="F131" t="s">
        <v>27</v>
      </c>
      <c r="G131">
        <v>14000</v>
      </c>
      <c r="H131">
        <v>104.31</v>
      </c>
      <c r="I131" t="s">
        <v>36</v>
      </c>
      <c r="J131" t="s">
        <v>119</v>
      </c>
      <c r="K131" t="s">
        <v>38</v>
      </c>
      <c r="L131" t="s">
        <v>17</v>
      </c>
      <c r="M131">
        <v>8</v>
      </c>
      <c r="N131" t="s">
        <v>228</v>
      </c>
      <c r="O131" t="s">
        <v>229</v>
      </c>
      <c r="P131">
        <v>0</v>
      </c>
      <c r="Q131">
        <v>0</v>
      </c>
      <c r="R131">
        <v>1</v>
      </c>
      <c r="S131">
        <v>0</v>
      </c>
      <c r="T131">
        <v>0</v>
      </c>
      <c r="U131">
        <v>0</v>
      </c>
      <c r="V131">
        <v>0</v>
      </c>
      <c r="W131">
        <v>0</v>
      </c>
      <c r="X131">
        <v>0</v>
      </c>
    </row>
    <row r="132" spans="1:24" x14ac:dyDescent="0.3">
      <c r="A132" t="s">
        <v>250</v>
      </c>
      <c r="B132" s="2">
        <v>46287</v>
      </c>
      <c r="C132" s="2">
        <v>46289</v>
      </c>
      <c r="D132" t="s">
        <v>155</v>
      </c>
      <c r="E132" t="s">
        <v>251</v>
      </c>
      <c r="F132" t="s">
        <v>46</v>
      </c>
      <c r="G132">
        <v>11000</v>
      </c>
      <c r="H132">
        <v>102.96</v>
      </c>
      <c r="I132" t="s">
        <v>42</v>
      </c>
      <c r="J132" t="s">
        <v>29</v>
      </c>
      <c r="K132" t="s">
        <v>38</v>
      </c>
      <c r="L132" t="s">
        <v>17</v>
      </c>
      <c r="M132">
        <v>8</v>
      </c>
      <c r="N132" t="s">
        <v>228</v>
      </c>
      <c r="O132" t="s">
        <v>229</v>
      </c>
      <c r="P132">
        <v>0</v>
      </c>
      <c r="Q132">
        <v>0</v>
      </c>
      <c r="R132">
        <v>1</v>
      </c>
      <c r="S132">
        <v>0</v>
      </c>
      <c r="T132">
        <v>0</v>
      </c>
      <c r="U132">
        <v>0</v>
      </c>
      <c r="V132">
        <v>0</v>
      </c>
      <c r="W132">
        <v>0</v>
      </c>
      <c r="X132">
        <v>0</v>
      </c>
    </row>
    <row r="133" spans="1:24" x14ac:dyDescent="0.3">
      <c r="A133" t="s">
        <v>252</v>
      </c>
      <c r="B133" s="2">
        <v>46287</v>
      </c>
      <c r="C133" s="2">
        <v>46291</v>
      </c>
      <c r="D133" t="s">
        <v>78</v>
      </c>
      <c r="E133" t="s">
        <v>81</v>
      </c>
      <c r="F133" t="s">
        <v>46</v>
      </c>
      <c r="G133">
        <v>32700</v>
      </c>
      <c r="H133">
        <v>183.98</v>
      </c>
      <c r="I133" t="s">
        <v>42</v>
      </c>
      <c r="J133" t="s">
        <v>29</v>
      </c>
      <c r="K133" t="s">
        <v>38</v>
      </c>
      <c r="L133" t="s">
        <v>19</v>
      </c>
      <c r="M133">
        <v>8</v>
      </c>
      <c r="N133" t="s">
        <v>228</v>
      </c>
      <c r="O133" t="s">
        <v>229</v>
      </c>
      <c r="P133">
        <v>0</v>
      </c>
      <c r="Q133">
        <v>0</v>
      </c>
      <c r="R133">
        <v>0</v>
      </c>
      <c r="S133">
        <v>0</v>
      </c>
      <c r="T133">
        <v>1</v>
      </c>
      <c r="U133">
        <v>0</v>
      </c>
      <c r="V133">
        <v>0</v>
      </c>
      <c r="W133">
        <v>0</v>
      </c>
      <c r="X133">
        <v>0</v>
      </c>
    </row>
    <row r="134" spans="1:24" x14ac:dyDescent="0.3">
      <c r="A134" t="s">
        <v>253</v>
      </c>
      <c r="B134" s="2">
        <v>46287</v>
      </c>
      <c r="C134" s="2">
        <v>46291</v>
      </c>
      <c r="D134" t="s">
        <v>34</v>
      </c>
      <c r="E134" t="s">
        <v>101</v>
      </c>
      <c r="F134" t="s">
        <v>27</v>
      </c>
      <c r="G134">
        <v>12300</v>
      </c>
      <c r="H134">
        <v>211.78</v>
      </c>
      <c r="I134" t="s">
        <v>28</v>
      </c>
      <c r="J134" t="s">
        <v>60</v>
      </c>
      <c r="K134" t="s">
        <v>30</v>
      </c>
      <c r="L134" t="s">
        <v>19</v>
      </c>
      <c r="M134">
        <v>8</v>
      </c>
      <c r="N134" t="s">
        <v>228</v>
      </c>
      <c r="O134" t="s">
        <v>229</v>
      </c>
      <c r="P134">
        <v>0</v>
      </c>
      <c r="Q134">
        <v>0</v>
      </c>
      <c r="R134">
        <v>0</v>
      </c>
      <c r="S134">
        <v>0</v>
      </c>
      <c r="T134">
        <v>1</v>
      </c>
      <c r="U134">
        <v>0</v>
      </c>
      <c r="V134">
        <v>0</v>
      </c>
      <c r="W134">
        <v>0</v>
      </c>
      <c r="X134">
        <v>0</v>
      </c>
    </row>
    <row r="135" spans="1:24" x14ac:dyDescent="0.3">
      <c r="A135" t="s">
        <v>254</v>
      </c>
      <c r="B135" s="2">
        <v>46287</v>
      </c>
      <c r="C135" s="2">
        <v>46289</v>
      </c>
      <c r="D135" t="s">
        <v>176</v>
      </c>
      <c r="E135" t="s">
        <v>255</v>
      </c>
      <c r="F135" t="s">
        <v>46</v>
      </c>
      <c r="G135">
        <v>118300</v>
      </c>
      <c r="H135">
        <v>25.36</v>
      </c>
      <c r="I135" t="s">
        <v>28</v>
      </c>
      <c r="J135" t="s">
        <v>37</v>
      </c>
      <c r="K135" t="s">
        <v>38</v>
      </c>
      <c r="L135" t="s">
        <v>20</v>
      </c>
      <c r="M135">
        <v>8</v>
      </c>
      <c r="N135" t="s">
        <v>228</v>
      </c>
      <c r="O135" t="s">
        <v>229</v>
      </c>
      <c r="P135">
        <v>0</v>
      </c>
      <c r="Q135">
        <v>0</v>
      </c>
      <c r="R135">
        <v>0</v>
      </c>
      <c r="S135">
        <v>0</v>
      </c>
      <c r="T135">
        <v>0</v>
      </c>
      <c r="U135">
        <v>1</v>
      </c>
      <c r="V135">
        <v>0</v>
      </c>
      <c r="W135">
        <v>0</v>
      </c>
      <c r="X135">
        <v>0</v>
      </c>
    </row>
    <row r="136" spans="1:24" x14ac:dyDescent="0.3">
      <c r="A136" t="s">
        <v>256</v>
      </c>
      <c r="B136" s="2">
        <v>46287</v>
      </c>
      <c r="C136" s="2">
        <v>46289</v>
      </c>
      <c r="D136" t="s">
        <v>115</v>
      </c>
      <c r="E136" t="s">
        <v>140</v>
      </c>
      <c r="F136" t="s">
        <v>27</v>
      </c>
      <c r="G136">
        <v>16000</v>
      </c>
      <c r="H136">
        <v>107.44</v>
      </c>
      <c r="I136" t="s">
        <v>36</v>
      </c>
      <c r="J136" t="s">
        <v>37</v>
      </c>
      <c r="K136" t="s">
        <v>30</v>
      </c>
      <c r="L136" t="s">
        <v>21</v>
      </c>
      <c r="M136">
        <v>8</v>
      </c>
      <c r="N136" t="s">
        <v>228</v>
      </c>
      <c r="O136" t="s">
        <v>229</v>
      </c>
      <c r="P136">
        <v>0</v>
      </c>
      <c r="Q136">
        <v>0</v>
      </c>
      <c r="R136">
        <v>0</v>
      </c>
      <c r="S136">
        <v>0</v>
      </c>
      <c r="T136">
        <v>0</v>
      </c>
      <c r="U136">
        <v>0</v>
      </c>
      <c r="V136">
        <v>1</v>
      </c>
      <c r="W136">
        <v>0</v>
      </c>
      <c r="X136">
        <v>0</v>
      </c>
    </row>
    <row r="137" spans="1:24" x14ac:dyDescent="0.3">
      <c r="A137" t="s">
        <v>257</v>
      </c>
      <c r="B137" s="2">
        <v>46287</v>
      </c>
      <c r="C137" s="2">
        <v>46289</v>
      </c>
      <c r="D137" t="s">
        <v>99</v>
      </c>
      <c r="E137" t="s">
        <v>258</v>
      </c>
      <c r="F137" t="s">
        <v>46</v>
      </c>
      <c r="G137">
        <v>1500</v>
      </c>
      <c r="H137">
        <v>106.79</v>
      </c>
      <c r="I137" t="s">
        <v>42</v>
      </c>
      <c r="J137" t="s">
        <v>37</v>
      </c>
      <c r="K137" t="s">
        <v>30</v>
      </c>
      <c r="L137" t="s">
        <v>22</v>
      </c>
      <c r="M137">
        <v>8</v>
      </c>
      <c r="N137" t="s">
        <v>228</v>
      </c>
      <c r="O137" t="s">
        <v>229</v>
      </c>
      <c r="P137">
        <v>0</v>
      </c>
      <c r="Q137">
        <v>0</v>
      </c>
      <c r="R137">
        <v>0</v>
      </c>
      <c r="S137">
        <v>0</v>
      </c>
      <c r="T137">
        <v>0</v>
      </c>
      <c r="U137">
        <v>0</v>
      </c>
      <c r="V137">
        <v>0</v>
      </c>
      <c r="W137">
        <v>1</v>
      </c>
      <c r="X137">
        <v>0</v>
      </c>
    </row>
    <row r="138" spans="1:24" x14ac:dyDescent="0.3">
      <c r="A138" t="s">
        <v>245</v>
      </c>
      <c r="B138" s="2">
        <v>46287</v>
      </c>
      <c r="C138" s="2">
        <v>46289</v>
      </c>
      <c r="D138" t="s">
        <v>71</v>
      </c>
      <c r="E138" t="s">
        <v>89</v>
      </c>
      <c r="F138" t="s">
        <v>27</v>
      </c>
      <c r="G138">
        <v>15000</v>
      </c>
      <c r="H138">
        <v>107.21</v>
      </c>
      <c r="I138" t="s">
        <v>36</v>
      </c>
      <c r="J138" t="s">
        <v>37</v>
      </c>
      <c r="K138" t="s">
        <v>30</v>
      </c>
      <c r="L138" t="s">
        <v>23</v>
      </c>
      <c r="M138">
        <v>8</v>
      </c>
      <c r="N138" t="s">
        <v>228</v>
      </c>
      <c r="O138" t="s">
        <v>229</v>
      </c>
      <c r="P138">
        <v>0</v>
      </c>
      <c r="Q138">
        <v>0</v>
      </c>
      <c r="R138">
        <v>0</v>
      </c>
      <c r="S138">
        <v>0</v>
      </c>
      <c r="T138">
        <v>0</v>
      </c>
      <c r="U138">
        <v>0</v>
      </c>
      <c r="V138">
        <v>0</v>
      </c>
      <c r="W138">
        <v>0</v>
      </c>
      <c r="X138">
        <v>1</v>
      </c>
    </row>
    <row r="139" spans="1:24" x14ac:dyDescent="0.3">
      <c r="A139" t="s">
        <v>259</v>
      </c>
      <c r="B139" s="2">
        <v>46288</v>
      </c>
      <c r="C139" s="2">
        <v>46290</v>
      </c>
      <c r="E139" t="s">
        <v>127</v>
      </c>
      <c r="F139" t="s">
        <v>46</v>
      </c>
      <c r="G139">
        <v>16000</v>
      </c>
      <c r="H139">
        <v>101.79</v>
      </c>
      <c r="I139" t="s">
        <v>36</v>
      </c>
      <c r="J139" t="s">
        <v>119</v>
      </c>
      <c r="K139" t="s">
        <v>38</v>
      </c>
      <c r="L139" t="s">
        <v>15</v>
      </c>
      <c r="M139">
        <v>7</v>
      </c>
      <c r="N139" t="s">
        <v>228</v>
      </c>
      <c r="O139" t="s">
        <v>229</v>
      </c>
      <c r="P139">
        <v>1</v>
      </c>
      <c r="Q139">
        <v>0</v>
      </c>
      <c r="R139">
        <v>0</v>
      </c>
      <c r="S139">
        <v>0</v>
      </c>
      <c r="T139">
        <v>0</v>
      </c>
      <c r="U139">
        <v>0</v>
      </c>
      <c r="V139">
        <v>0</v>
      </c>
      <c r="W139">
        <v>0</v>
      </c>
      <c r="X139">
        <v>0</v>
      </c>
    </row>
    <row r="140" spans="1:24" x14ac:dyDescent="0.3">
      <c r="A140" t="s">
        <v>260</v>
      </c>
      <c r="B140" s="2">
        <v>46288</v>
      </c>
      <c r="D140" t="s">
        <v>134</v>
      </c>
      <c r="E140" t="s">
        <v>74</v>
      </c>
      <c r="F140" t="s">
        <v>46</v>
      </c>
      <c r="G140">
        <v>11000</v>
      </c>
      <c r="H140">
        <v>93.44</v>
      </c>
      <c r="I140" t="s">
        <v>28</v>
      </c>
      <c r="J140" t="s">
        <v>119</v>
      </c>
      <c r="K140" t="s">
        <v>38</v>
      </c>
      <c r="L140" t="s">
        <v>15</v>
      </c>
      <c r="M140">
        <v>7</v>
      </c>
      <c r="N140" t="s">
        <v>228</v>
      </c>
      <c r="O140" t="s">
        <v>229</v>
      </c>
      <c r="P140">
        <v>1</v>
      </c>
      <c r="Q140">
        <v>0</v>
      </c>
      <c r="R140">
        <v>0</v>
      </c>
      <c r="S140">
        <v>0</v>
      </c>
      <c r="T140">
        <v>0</v>
      </c>
      <c r="U140">
        <v>0</v>
      </c>
      <c r="V140">
        <v>0</v>
      </c>
      <c r="W140">
        <v>0</v>
      </c>
      <c r="X140">
        <v>0</v>
      </c>
    </row>
    <row r="141" spans="1:24" x14ac:dyDescent="0.3">
      <c r="A141" t="s">
        <v>261</v>
      </c>
      <c r="B141" s="2">
        <v>46288</v>
      </c>
      <c r="C141" s="2">
        <v>46290</v>
      </c>
      <c r="D141" t="s">
        <v>55</v>
      </c>
      <c r="E141" t="s">
        <v>35</v>
      </c>
      <c r="F141" t="s">
        <v>27</v>
      </c>
      <c r="H141">
        <v>149.24</v>
      </c>
      <c r="I141" t="s">
        <v>36</v>
      </c>
      <c r="J141" t="s">
        <v>50</v>
      </c>
      <c r="K141" t="s">
        <v>38</v>
      </c>
      <c r="L141" t="s">
        <v>15</v>
      </c>
      <c r="M141">
        <v>7</v>
      </c>
      <c r="N141" t="s">
        <v>228</v>
      </c>
      <c r="O141" t="s">
        <v>229</v>
      </c>
      <c r="P141">
        <v>1</v>
      </c>
      <c r="Q141">
        <v>0</v>
      </c>
      <c r="R141">
        <v>0</v>
      </c>
      <c r="S141">
        <v>0</v>
      </c>
      <c r="T141">
        <v>0</v>
      </c>
      <c r="U141">
        <v>0</v>
      </c>
      <c r="V141">
        <v>0</v>
      </c>
      <c r="W141">
        <v>0</v>
      </c>
      <c r="X141">
        <v>0</v>
      </c>
    </row>
    <row r="142" spans="1:24" x14ac:dyDescent="0.3">
      <c r="A142" t="s">
        <v>262</v>
      </c>
      <c r="B142" s="2">
        <v>46288</v>
      </c>
      <c r="C142" s="2">
        <v>46290</v>
      </c>
      <c r="D142" t="s">
        <v>263</v>
      </c>
      <c r="E142" t="s">
        <v>35</v>
      </c>
      <c r="F142" t="s">
        <v>27</v>
      </c>
      <c r="G142">
        <v>21200</v>
      </c>
      <c r="H142">
        <v>145.31</v>
      </c>
      <c r="I142" t="s">
        <v>36</v>
      </c>
      <c r="J142" t="s">
        <v>37</v>
      </c>
      <c r="K142" t="s">
        <v>38</v>
      </c>
      <c r="L142" t="s">
        <v>16</v>
      </c>
      <c r="M142">
        <v>7</v>
      </c>
      <c r="N142" t="s">
        <v>228</v>
      </c>
      <c r="O142" t="s">
        <v>229</v>
      </c>
      <c r="P142">
        <v>0</v>
      </c>
      <c r="Q142">
        <v>1</v>
      </c>
      <c r="R142">
        <v>0</v>
      </c>
      <c r="S142">
        <v>0</v>
      </c>
      <c r="T142">
        <v>0</v>
      </c>
      <c r="U142">
        <v>0</v>
      </c>
      <c r="V142">
        <v>0</v>
      </c>
      <c r="W142">
        <v>0</v>
      </c>
      <c r="X142">
        <v>0</v>
      </c>
    </row>
    <row r="143" spans="1:24" x14ac:dyDescent="0.3">
      <c r="A143" t="s">
        <v>264</v>
      </c>
      <c r="B143" s="2">
        <v>46288</v>
      </c>
      <c r="C143" s="2">
        <v>46290</v>
      </c>
      <c r="D143" t="s">
        <v>265</v>
      </c>
      <c r="E143" t="s">
        <v>101</v>
      </c>
      <c r="F143" t="s">
        <v>27</v>
      </c>
      <c r="G143">
        <v>2200</v>
      </c>
      <c r="H143">
        <v>210.39</v>
      </c>
      <c r="I143" t="s">
        <v>28</v>
      </c>
      <c r="J143" t="s">
        <v>37</v>
      </c>
      <c r="K143" t="s">
        <v>38</v>
      </c>
      <c r="L143" t="s">
        <v>16</v>
      </c>
      <c r="M143">
        <v>7</v>
      </c>
      <c r="N143" t="s">
        <v>228</v>
      </c>
      <c r="O143" t="s">
        <v>229</v>
      </c>
      <c r="P143">
        <v>0</v>
      </c>
      <c r="Q143">
        <v>1</v>
      </c>
      <c r="R143">
        <v>0</v>
      </c>
      <c r="S143">
        <v>0</v>
      </c>
      <c r="T143">
        <v>0</v>
      </c>
      <c r="U143">
        <v>0</v>
      </c>
      <c r="V143">
        <v>0</v>
      </c>
      <c r="W143">
        <v>0</v>
      </c>
      <c r="X143">
        <v>0</v>
      </c>
    </row>
    <row r="144" spans="1:24" x14ac:dyDescent="0.3">
      <c r="A144" t="s">
        <v>266</v>
      </c>
      <c r="B144" s="2">
        <v>46288</v>
      </c>
      <c r="C144" s="2">
        <v>46290</v>
      </c>
      <c r="D144" t="s">
        <v>176</v>
      </c>
      <c r="E144" t="s">
        <v>267</v>
      </c>
      <c r="F144" t="s">
        <v>46</v>
      </c>
      <c r="G144">
        <v>6800</v>
      </c>
      <c r="H144">
        <v>115.05</v>
      </c>
      <c r="I144" t="s">
        <v>28</v>
      </c>
      <c r="J144" t="s">
        <v>29</v>
      </c>
      <c r="K144" t="s">
        <v>38</v>
      </c>
      <c r="L144" t="s">
        <v>17</v>
      </c>
      <c r="M144">
        <v>7</v>
      </c>
      <c r="N144" t="s">
        <v>228</v>
      </c>
      <c r="O144" t="s">
        <v>229</v>
      </c>
      <c r="P144">
        <v>0</v>
      </c>
      <c r="Q144">
        <v>0</v>
      </c>
      <c r="R144">
        <v>1</v>
      </c>
      <c r="S144">
        <v>0</v>
      </c>
      <c r="T144">
        <v>0</v>
      </c>
      <c r="U144">
        <v>0</v>
      </c>
      <c r="V144">
        <v>0</v>
      </c>
      <c r="W144">
        <v>0</v>
      </c>
      <c r="X144">
        <v>0</v>
      </c>
    </row>
    <row r="145" spans="1:24" x14ac:dyDescent="0.3">
      <c r="A145" t="s">
        <v>268</v>
      </c>
      <c r="B145" s="2">
        <v>46288</v>
      </c>
      <c r="C145" s="2">
        <v>46290</v>
      </c>
      <c r="D145" t="s">
        <v>206</v>
      </c>
      <c r="E145" t="s">
        <v>269</v>
      </c>
      <c r="F145" t="s">
        <v>27</v>
      </c>
      <c r="G145">
        <v>31700</v>
      </c>
      <c r="H145">
        <v>25.06</v>
      </c>
      <c r="I145" t="s">
        <v>28</v>
      </c>
      <c r="J145" t="s">
        <v>60</v>
      </c>
      <c r="K145" t="s">
        <v>38</v>
      </c>
      <c r="L145" t="s">
        <v>17</v>
      </c>
      <c r="M145">
        <v>7</v>
      </c>
      <c r="N145" t="s">
        <v>228</v>
      </c>
      <c r="O145" t="s">
        <v>229</v>
      </c>
      <c r="P145">
        <v>0</v>
      </c>
      <c r="Q145">
        <v>0</v>
      </c>
      <c r="R145">
        <v>1</v>
      </c>
      <c r="S145">
        <v>0</v>
      </c>
      <c r="T145">
        <v>0</v>
      </c>
      <c r="U145">
        <v>0</v>
      </c>
      <c r="V145">
        <v>0</v>
      </c>
      <c r="W145">
        <v>0</v>
      </c>
      <c r="X145">
        <v>0</v>
      </c>
    </row>
    <row r="146" spans="1:24" x14ac:dyDescent="0.3">
      <c r="A146" t="s">
        <v>270</v>
      </c>
      <c r="B146" s="2">
        <v>46288</v>
      </c>
      <c r="C146" s="2">
        <v>46286</v>
      </c>
      <c r="D146" t="s">
        <v>87</v>
      </c>
      <c r="E146" t="s">
        <v>49</v>
      </c>
      <c r="F146" t="s">
        <v>46</v>
      </c>
      <c r="G146">
        <v>10000</v>
      </c>
      <c r="H146">
        <v>101.64</v>
      </c>
      <c r="I146" t="s">
        <v>28</v>
      </c>
      <c r="J146" t="s">
        <v>119</v>
      </c>
      <c r="K146" t="s">
        <v>38</v>
      </c>
      <c r="L146" t="s">
        <v>18</v>
      </c>
      <c r="M146">
        <v>7</v>
      </c>
      <c r="N146" t="s">
        <v>228</v>
      </c>
      <c r="O146" t="s">
        <v>229</v>
      </c>
      <c r="P146">
        <v>0</v>
      </c>
      <c r="Q146">
        <v>0</v>
      </c>
      <c r="R146">
        <v>0</v>
      </c>
      <c r="S146">
        <v>1</v>
      </c>
      <c r="T146">
        <v>0</v>
      </c>
      <c r="U146">
        <v>0</v>
      </c>
      <c r="V146">
        <v>0</v>
      </c>
      <c r="W146">
        <v>0</v>
      </c>
      <c r="X146">
        <v>0</v>
      </c>
    </row>
    <row r="147" spans="1:24" x14ac:dyDescent="0.3">
      <c r="A147" t="s">
        <v>271</v>
      </c>
      <c r="B147" s="2">
        <v>46288</v>
      </c>
      <c r="C147" s="2">
        <v>46286</v>
      </c>
      <c r="D147" t="s">
        <v>176</v>
      </c>
      <c r="E147" t="s">
        <v>53</v>
      </c>
      <c r="F147" t="s">
        <v>46</v>
      </c>
      <c r="G147">
        <v>1800</v>
      </c>
      <c r="H147">
        <v>94.89</v>
      </c>
      <c r="I147" t="s">
        <v>42</v>
      </c>
      <c r="J147" t="s">
        <v>119</v>
      </c>
      <c r="K147" t="s">
        <v>38</v>
      </c>
      <c r="L147" t="s">
        <v>18</v>
      </c>
      <c r="M147">
        <v>7</v>
      </c>
      <c r="N147" t="s">
        <v>228</v>
      </c>
      <c r="O147" t="s">
        <v>229</v>
      </c>
      <c r="P147">
        <v>0</v>
      </c>
      <c r="Q147">
        <v>0</v>
      </c>
      <c r="R147">
        <v>0</v>
      </c>
      <c r="S147">
        <v>1</v>
      </c>
      <c r="T147">
        <v>0</v>
      </c>
      <c r="U147">
        <v>0</v>
      </c>
      <c r="V147">
        <v>0</v>
      </c>
      <c r="W147">
        <v>0</v>
      </c>
      <c r="X147">
        <v>0</v>
      </c>
    </row>
    <row r="148" spans="1:24" x14ac:dyDescent="0.3">
      <c r="A148" t="s">
        <v>272</v>
      </c>
      <c r="B148" s="2">
        <v>46288</v>
      </c>
      <c r="C148" s="2">
        <v>46286</v>
      </c>
      <c r="D148" t="s">
        <v>151</v>
      </c>
      <c r="E148" t="s">
        <v>85</v>
      </c>
      <c r="F148" t="s">
        <v>27</v>
      </c>
      <c r="G148">
        <v>11500</v>
      </c>
      <c r="H148">
        <v>88.04</v>
      </c>
      <c r="I148" t="s">
        <v>42</v>
      </c>
      <c r="J148" t="s">
        <v>29</v>
      </c>
      <c r="K148" t="s">
        <v>38</v>
      </c>
      <c r="L148" t="s">
        <v>18</v>
      </c>
      <c r="M148">
        <v>7</v>
      </c>
      <c r="N148" t="s">
        <v>228</v>
      </c>
      <c r="O148" t="s">
        <v>229</v>
      </c>
      <c r="P148">
        <v>0</v>
      </c>
      <c r="Q148">
        <v>0</v>
      </c>
      <c r="R148">
        <v>0</v>
      </c>
      <c r="S148">
        <v>1</v>
      </c>
      <c r="T148">
        <v>0</v>
      </c>
      <c r="U148">
        <v>0</v>
      </c>
      <c r="V148">
        <v>0</v>
      </c>
      <c r="W148">
        <v>0</v>
      </c>
      <c r="X148">
        <v>0</v>
      </c>
    </row>
    <row r="149" spans="1:24" x14ac:dyDescent="0.3">
      <c r="A149" t="s">
        <v>273</v>
      </c>
      <c r="B149" s="2">
        <v>46288</v>
      </c>
      <c r="C149" s="2">
        <v>46287</v>
      </c>
      <c r="D149" t="s">
        <v>220</v>
      </c>
      <c r="E149" t="s">
        <v>116</v>
      </c>
      <c r="F149" t="s">
        <v>46</v>
      </c>
      <c r="G149">
        <v>12900</v>
      </c>
      <c r="H149">
        <v>65.42</v>
      </c>
      <c r="I149" t="s">
        <v>36</v>
      </c>
      <c r="J149" t="s">
        <v>37</v>
      </c>
      <c r="K149" t="s">
        <v>30</v>
      </c>
      <c r="L149" t="s">
        <v>18</v>
      </c>
      <c r="M149">
        <v>7</v>
      </c>
      <c r="N149" t="s">
        <v>228</v>
      </c>
      <c r="O149" t="s">
        <v>229</v>
      </c>
      <c r="P149">
        <v>0</v>
      </c>
      <c r="Q149">
        <v>0</v>
      </c>
      <c r="R149">
        <v>0</v>
      </c>
      <c r="S149">
        <v>1</v>
      </c>
      <c r="T149">
        <v>0</v>
      </c>
      <c r="U149">
        <v>0</v>
      </c>
      <c r="V149">
        <v>0</v>
      </c>
      <c r="W149">
        <v>0</v>
      </c>
      <c r="X149">
        <v>0</v>
      </c>
    </row>
    <row r="150" spans="1:24" x14ac:dyDescent="0.3">
      <c r="A150" t="s">
        <v>274</v>
      </c>
      <c r="B150" s="2">
        <v>46288</v>
      </c>
      <c r="C150" s="2">
        <v>46287</v>
      </c>
      <c r="D150" t="s">
        <v>134</v>
      </c>
      <c r="E150" t="s">
        <v>41</v>
      </c>
      <c r="F150" t="s">
        <v>27</v>
      </c>
      <c r="G150">
        <v>7000</v>
      </c>
      <c r="H150">
        <v>107.8</v>
      </c>
      <c r="I150" t="s">
        <v>42</v>
      </c>
      <c r="J150" t="s">
        <v>50</v>
      </c>
      <c r="K150" t="s">
        <v>38</v>
      </c>
      <c r="L150" t="s">
        <v>18</v>
      </c>
      <c r="M150">
        <v>7</v>
      </c>
      <c r="N150" t="s">
        <v>228</v>
      </c>
      <c r="O150" t="s">
        <v>229</v>
      </c>
      <c r="P150">
        <v>0</v>
      </c>
      <c r="Q150">
        <v>0</v>
      </c>
      <c r="R150">
        <v>0</v>
      </c>
      <c r="S150">
        <v>1</v>
      </c>
      <c r="T150">
        <v>0</v>
      </c>
      <c r="U150">
        <v>0</v>
      </c>
      <c r="V150">
        <v>0</v>
      </c>
      <c r="W150">
        <v>0</v>
      </c>
      <c r="X150">
        <v>0</v>
      </c>
    </row>
    <row r="151" spans="1:24" x14ac:dyDescent="0.3">
      <c r="A151" t="s">
        <v>275</v>
      </c>
      <c r="B151" s="2">
        <v>46288</v>
      </c>
      <c r="C151" s="2">
        <v>46291</v>
      </c>
      <c r="D151" t="s">
        <v>214</v>
      </c>
      <c r="E151" t="s">
        <v>103</v>
      </c>
      <c r="F151" t="s">
        <v>27</v>
      </c>
      <c r="G151">
        <v>6000</v>
      </c>
      <c r="H151">
        <v>101.86</v>
      </c>
      <c r="I151" t="s">
        <v>42</v>
      </c>
      <c r="J151" t="s">
        <v>119</v>
      </c>
      <c r="K151" t="s">
        <v>30</v>
      </c>
      <c r="L151" t="s">
        <v>19</v>
      </c>
      <c r="M151">
        <v>7</v>
      </c>
      <c r="N151" t="s">
        <v>228</v>
      </c>
      <c r="O151" t="s">
        <v>229</v>
      </c>
      <c r="P151">
        <v>0</v>
      </c>
      <c r="Q151">
        <v>0</v>
      </c>
      <c r="R151">
        <v>0</v>
      </c>
      <c r="S151">
        <v>0</v>
      </c>
      <c r="T151">
        <v>1</v>
      </c>
      <c r="U151">
        <v>0</v>
      </c>
      <c r="V151">
        <v>0</v>
      </c>
      <c r="W151">
        <v>0</v>
      </c>
      <c r="X151">
        <v>0</v>
      </c>
    </row>
    <row r="152" spans="1:24" x14ac:dyDescent="0.3">
      <c r="A152" t="s">
        <v>276</v>
      </c>
      <c r="B152" s="2">
        <v>46288</v>
      </c>
      <c r="C152" s="2">
        <v>46291</v>
      </c>
      <c r="D152" t="s">
        <v>132</v>
      </c>
      <c r="E152" t="s">
        <v>59</v>
      </c>
      <c r="F152" t="s">
        <v>46</v>
      </c>
      <c r="G152">
        <v>5000</v>
      </c>
      <c r="H152">
        <v>100.51</v>
      </c>
      <c r="I152" t="s">
        <v>36</v>
      </c>
      <c r="J152" t="s">
        <v>37</v>
      </c>
      <c r="K152" t="s">
        <v>38</v>
      </c>
      <c r="L152" t="s">
        <v>19</v>
      </c>
      <c r="M152">
        <v>7</v>
      </c>
      <c r="N152" t="s">
        <v>228</v>
      </c>
      <c r="O152" t="s">
        <v>229</v>
      </c>
      <c r="P152">
        <v>0</v>
      </c>
      <c r="Q152">
        <v>0</v>
      </c>
      <c r="R152">
        <v>0</v>
      </c>
      <c r="S152">
        <v>0</v>
      </c>
      <c r="T152">
        <v>1</v>
      </c>
      <c r="U152">
        <v>0</v>
      </c>
      <c r="V152">
        <v>0</v>
      </c>
      <c r="W152">
        <v>0</v>
      </c>
      <c r="X152">
        <v>0</v>
      </c>
    </row>
    <row r="153" spans="1:24" x14ac:dyDescent="0.3">
      <c r="A153" t="s">
        <v>277</v>
      </c>
      <c r="B153" s="2">
        <v>46288</v>
      </c>
      <c r="C153" s="2">
        <v>46290</v>
      </c>
      <c r="D153" t="s">
        <v>110</v>
      </c>
      <c r="E153" t="s">
        <v>111</v>
      </c>
      <c r="F153" t="s">
        <v>27</v>
      </c>
      <c r="G153">
        <v>71600</v>
      </c>
      <c r="H153">
        <v>102.43</v>
      </c>
      <c r="I153" t="s">
        <v>42</v>
      </c>
      <c r="J153" t="s">
        <v>50</v>
      </c>
      <c r="K153" t="s">
        <v>38</v>
      </c>
      <c r="L153" t="s">
        <v>20</v>
      </c>
      <c r="M153">
        <v>7</v>
      </c>
      <c r="N153" t="s">
        <v>228</v>
      </c>
      <c r="O153" t="s">
        <v>229</v>
      </c>
      <c r="P153">
        <v>0</v>
      </c>
      <c r="Q153">
        <v>0</v>
      </c>
      <c r="R153">
        <v>0</v>
      </c>
      <c r="S153">
        <v>0</v>
      </c>
      <c r="T153">
        <v>0</v>
      </c>
      <c r="U153">
        <v>1</v>
      </c>
      <c r="V153">
        <v>0</v>
      </c>
      <c r="W153">
        <v>0</v>
      </c>
      <c r="X153">
        <v>0</v>
      </c>
    </row>
    <row r="154" spans="1:24" x14ac:dyDescent="0.3">
      <c r="A154" t="s">
        <v>278</v>
      </c>
      <c r="B154" s="2">
        <v>46288</v>
      </c>
      <c r="C154" s="2">
        <v>46290</v>
      </c>
      <c r="D154" t="s">
        <v>279</v>
      </c>
      <c r="E154" t="s">
        <v>280</v>
      </c>
      <c r="F154" t="s">
        <v>27</v>
      </c>
      <c r="G154">
        <v>55600</v>
      </c>
      <c r="H154">
        <v>102.41</v>
      </c>
      <c r="I154" t="s">
        <v>36</v>
      </c>
      <c r="J154" t="s">
        <v>60</v>
      </c>
      <c r="K154" t="s">
        <v>38</v>
      </c>
      <c r="L154" t="s">
        <v>20</v>
      </c>
      <c r="M154">
        <v>7</v>
      </c>
      <c r="N154" t="s">
        <v>228</v>
      </c>
      <c r="O154" t="s">
        <v>229</v>
      </c>
      <c r="P154">
        <v>0</v>
      </c>
      <c r="Q154">
        <v>0</v>
      </c>
      <c r="R154">
        <v>0</v>
      </c>
      <c r="S154">
        <v>0</v>
      </c>
      <c r="T154">
        <v>0</v>
      </c>
      <c r="U154">
        <v>1</v>
      </c>
      <c r="V154">
        <v>0</v>
      </c>
      <c r="W154">
        <v>0</v>
      </c>
      <c r="X154">
        <v>0</v>
      </c>
    </row>
    <row r="155" spans="1:24" x14ac:dyDescent="0.3">
      <c r="A155" t="s">
        <v>281</v>
      </c>
      <c r="B155" s="2">
        <v>46288</v>
      </c>
      <c r="C155" s="2">
        <v>46290</v>
      </c>
      <c r="D155" t="s">
        <v>113</v>
      </c>
      <c r="E155" t="s">
        <v>41</v>
      </c>
      <c r="F155" t="s">
        <v>46</v>
      </c>
      <c r="G155">
        <v>12000</v>
      </c>
      <c r="H155">
        <v>106.14</v>
      </c>
      <c r="I155" t="s">
        <v>42</v>
      </c>
      <c r="J155" t="s">
        <v>50</v>
      </c>
      <c r="K155" t="s">
        <v>30</v>
      </c>
      <c r="L155" t="s">
        <v>21</v>
      </c>
      <c r="M155">
        <v>7</v>
      </c>
      <c r="N155" t="s">
        <v>228</v>
      </c>
      <c r="O155" t="s">
        <v>229</v>
      </c>
      <c r="P155">
        <v>0</v>
      </c>
      <c r="Q155">
        <v>0</v>
      </c>
      <c r="R155">
        <v>0</v>
      </c>
      <c r="S155">
        <v>0</v>
      </c>
      <c r="T155">
        <v>0</v>
      </c>
      <c r="U155">
        <v>0</v>
      </c>
      <c r="V155">
        <v>1</v>
      </c>
      <c r="W155">
        <v>0</v>
      </c>
      <c r="X155">
        <v>0</v>
      </c>
    </row>
    <row r="156" spans="1:24" x14ac:dyDescent="0.3">
      <c r="A156" t="s">
        <v>282</v>
      </c>
      <c r="B156" s="2">
        <v>46288</v>
      </c>
      <c r="C156" s="2">
        <v>46290</v>
      </c>
      <c r="D156" t="s">
        <v>210</v>
      </c>
      <c r="E156" t="s">
        <v>123</v>
      </c>
      <c r="F156" t="s">
        <v>46</v>
      </c>
      <c r="G156">
        <v>26600</v>
      </c>
      <c r="H156">
        <v>91.82</v>
      </c>
      <c r="I156" t="s">
        <v>28</v>
      </c>
      <c r="J156" t="s">
        <v>119</v>
      </c>
      <c r="K156" t="s">
        <v>38</v>
      </c>
      <c r="L156" t="s">
        <v>22</v>
      </c>
      <c r="M156">
        <v>7</v>
      </c>
      <c r="N156" t="s">
        <v>228</v>
      </c>
      <c r="O156" t="s">
        <v>229</v>
      </c>
      <c r="P156">
        <v>0</v>
      </c>
      <c r="Q156">
        <v>0</v>
      </c>
      <c r="R156">
        <v>0</v>
      </c>
      <c r="S156">
        <v>0</v>
      </c>
      <c r="T156">
        <v>0</v>
      </c>
      <c r="U156">
        <v>0</v>
      </c>
      <c r="V156">
        <v>0</v>
      </c>
      <c r="W156">
        <v>1</v>
      </c>
      <c r="X156">
        <v>0</v>
      </c>
    </row>
    <row r="157" spans="1:24" x14ac:dyDescent="0.3">
      <c r="A157" t="s">
        <v>283</v>
      </c>
      <c r="B157" s="2">
        <v>46288</v>
      </c>
      <c r="C157" s="2">
        <v>46290</v>
      </c>
      <c r="D157" t="s">
        <v>220</v>
      </c>
      <c r="E157" t="s">
        <v>45</v>
      </c>
      <c r="F157" t="s">
        <v>27</v>
      </c>
      <c r="G157">
        <v>23800</v>
      </c>
      <c r="H157">
        <v>98.39</v>
      </c>
      <c r="I157" t="s">
        <v>28</v>
      </c>
      <c r="J157" t="s">
        <v>29</v>
      </c>
      <c r="K157" t="s">
        <v>30</v>
      </c>
      <c r="L157" t="s">
        <v>22</v>
      </c>
      <c r="M157">
        <v>7</v>
      </c>
      <c r="N157" t="s">
        <v>228</v>
      </c>
      <c r="O157" t="s">
        <v>229</v>
      </c>
      <c r="P157">
        <v>0</v>
      </c>
      <c r="Q157">
        <v>0</v>
      </c>
      <c r="R157">
        <v>0</v>
      </c>
      <c r="S157">
        <v>0</v>
      </c>
      <c r="T157">
        <v>0</v>
      </c>
      <c r="U157">
        <v>0</v>
      </c>
      <c r="V157">
        <v>0</v>
      </c>
      <c r="W157">
        <v>1</v>
      </c>
      <c r="X157">
        <v>0</v>
      </c>
    </row>
    <row r="158" spans="1:24" x14ac:dyDescent="0.3">
      <c r="A158" t="s">
        <v>284</v>
      </c>
      <c r="B158" s="2">
        <v>46289</v>
      </c>
      <c r="C158" s="2">
        <v>46293</v>
      </c>
      <c r="D158" t="s">
        <v>107</v>
      </c>
      <c r="E158" t="s">
        <v>69</v>
      </c>
      <c r="F158" t="s">
        <v>46</v>
      </c>
      <c r="G158">
        <v>11000</v>
      </c>
      <c r="H158">
        <v>103.53</v>
      </c>
      <c r="I158" t="s">
        <v>42</v>
      </c>
      <c r="J158" t="s">
        <v>50</v>
      </c>
      <c r="K158" t="s">
        <v>30</v>
      </c>
      <c r="L158" t="s">
        <v>23</v>
      </c>
      <c r="M158">
        <v>6</v>
      </c>
      <c r="N158" t="s">
        <v>228</v>
      </c>
      <c r="O158" t="s">
        <v>229</v>
      </c>
      <c r="P158">
        <v>0</v>
      </c>
      <c r="Q158">
        <v>0</v>
      </c>
      <c r="R158">
        <v>0</v>
      </c>
      <c r="S158">
        <v>0</v>
      </c>
      <c r="T158">
        <v>0</v>
      </c>
      <c r="U158">
        <v>0</v>
      </c>
      <c r="V158">
        <v>0</v>
      </c>
      <c r="W158">
        <v>0</v>
      </c>
      <c r="X158">
        <v>1</v>
      </c>
    </row>
    <row r="159" spans="1:24" x14ac:dyDescent="0.3">
      <c r="A159" t="s">
        <v>285</v>
      </c>
      <c r="B159" s="2">
        <v>46289</v>
      </c>
      <c r="C159" s="2">
        <v>46293</v>
      </c>
      <c r="D159" t="s">
        <v>286</v>
      </c>
      <c r="E159" t="s">
        <v>92</v>
      </c>
      <c r="F159" t="s">
        <v>27</v>
      </c>
      <c r="G159">
        <v>8900</v>
      </c>
      <c r="H159">
        <v>120.33</v>
      </c>
      <c r="I159" t="s">
        <v>28</v>
      </c>
      <c r="J159" t="s">
        <v>37</v>
      </c>
      <c r="K159" t="s">
        <v>38</v>
      </c>
      <c r="L159" t="s">
        <v>16</v>
      </c>
      <c r="M159">
        <v>6</v>
      </c>
      <c r="N159" t="s">
        <v>228</v>
      </c>
      <c r="O159" t="s">
        <v>229</v>
      </c>
      <c r="P159">
        <v>0</v>
      </c>
      <c r="Q159">
        <v>1</v>
      </c>
      <c r="R159">
        <v>0</v>
      </c>
      <c r="S159">
        <v>0</v>
      </c>
      <c r="T159">
        <v>0</v>
      </c>
      <c r="U159">
        <v>0</v>
      </c>
      <c r="V159">
        <v>0</v>
      </c>
      <c r="W159">
        <v>0</v>
      </c>
      <c r="X159">
        <v>0</v>
      </c>
    </row>
    <row r="160" spans="1:24" x14ac:dyDescent="0.3">
      <c r="A160" t="s">
        <v>287</v>
      </c>
      <c r="B160" s="2">
        <v>46289</v>
      </c>
      <c r="C160" s="2">
        <v>46293</v>
      </c>
      <c r="D160" t="s">
        <v>84</v>
      </c>
      <c r="E160" t="s">
        <v>288</v>
      </c>
      <c r="F160" t="s">
        <v>27</v>
      </c>
      <c r="G160">
        <v>25900</v>
      </c>
      <c r="H160">
        <v>42.46</v>
      </c>
      <c r="I160" t="s">
        <v>36</v>
      </c>
      <c r="J160" t="s">
        <v>37</v>
      </c>
      <c r="K160" t="s">
        <v>38</v>
      </c>
      <c r="L160" t="s">
        <v>17</v>
      </c>
      <c r="M160">
        <v>6</v>
      </c>
      <c r="N160" t="s">
        <v>228</v>
      </c>
      <c r="O160" t="s">
        <v>229</v>
      </c>
      <c r="P160">
        <v>0</v>
      </c>
      <c r="Q160">
        <v>0</v>
      </c>
      <c r="R160">
        <v>1</v>
      </c>
      <c r="S160">
        <v>0</v>
      </c>
      <c r="T160">
        <v>0</v>
      </c>
      <c r="U160">
        <v>0</v>
      </c>
      <c r="V160">
        <v>0</v>
      </c>
      <c r="W160">
        <v>0</v>
      </c>
      <c r="X160">
        <v>0</v>
      </c>
    </row>
    <row r="161" spans="1:24" x14ac:dyDescent="0.3">
      <c r="A161" t="s">
        <v>289</v>
      </c>
      <c r="B161" s="2">
        <v>46289</v>
      </c>
      <c r="C161" s="2">
        <v>46291</v>
      </c>
      <c r="D161" t="s">
        <v>87</v>
      </c>
      <c r="E161" t="s">
        <v>123</v>
      </c>
      <c r="F161" t="s">
        <v>27</v>
      </c>
      <c r="G161">
        <v>29400</v>
      </c>
      <c r="H161">
        <v>90.59</v>
      </c>
      <c r="I161" t="s">
        <v>36</v>
      </c>
      <c r="J161" t="s">
        <v>119</v>
      </c>
      <c r="K161" t="s">
        <v>30</v>
      </c>
      <c r="L161" t="s">
        <v>19</v>
      </c>
      <c r="M161">
        <v>6</v>
      </c>
      <c r="N161" t="s">
        <v>228</v>
      </c>
      <c r="O161" t="s">
        <v>229</v>
      </c>
      <c r="P161">
        <v>0</v>
      </c>
      <c r="Q161">
        <v>0</v>
      </c>
      <c r="R161">
        <v>0</v>
      </c>
      <c r="S161">
        <v>0</v>
      </c>
      <c r="T161">
        <v>1</v>
      </c>
      <c r="U161">
        <v>0</v>
      </c>
      <c r="V161">
        <v>0</v>
      </c>
      <c r="W161">
        <v>0</v>
      </c>
      <c r="X161">
        <v>0</v>
      </c>
    </row>
    <row r="162" spans="1:24" x14ac:dyDescent="0.3">
      <c r="A162" t="s">
        <v>290</v>
      </c>
      <c r="B162" s="2">
        <v>46289</v>
      </c>
      <c r="C162" s="2">
        <v>46293</v>
      </c>
      <c r="D162" t="s">
        <v>76</v>
      </c>
      <c r="E162" t="s">
        <v>64</v>
      </c>
      <c r="F162" t="s">
        <v>27</v>
      </c>
      <c r="G162">
        <v>3000</v>
      </c>
      <c r="H162">
        <v>110.4</v>
      </c>
      <c r="I162" t="s">
        <v>42</v>
      </c>
      <c r="J162" t="s">
        <v>50</v>
      </c>
      <c r="K162" t="s">
        <v>30</v>
      </c>
      <c r="L162" t="s">
        <v>21</v>
      </c>
      <c r="M162">
        <v>6</v>
      </c>
      <c r="N162" t="s">
        <v>228</v>
      </c>
      <c r="O162" t="s">
        <v>229</v>
      </c>
      <c r="P162">
        <v>0</v>
      </c>
      <c r="Q162">
        <v>0</v>
      </c>
      <c r="R162">
        <v>0</v>
      </c>
      <c r="S162">
        <v>0</v>
      </c>
      <c r="T162">
        <v>0</v>
      </c>
      <c r="U162">
        <v>0</v>
      </c>
      <c r="V162">
        <v>1</v>
      </c>
      <c r="W162">
        <v>0</v>
      </c>
      <c r="X162">
        <v>0</v>
      </c>
    </row>
    <row r="163" spans="1:24" x14ac:dyDescent="0.3">
      <c r="A163" t="s">
        <v>291</v>
      </c>
      <c r="B163" s="2">
        <v>46289</v>
      </c>
      <c r="C163" s="2">
        <v>46293</v>
      </c>
      <c r="D163" t="s">
        <v>115</v>
      </c>
      <c r="E163" t="s">
        <v>85</v>
      </c>
      <c r="F163" t="s">
        <v>27</v>
      </c>
      <c r="G163">
        <v>21200</v>
      </c>
      <c r="H163">
        <v>89.85</v>
      </c>
      <c r="I163" t="s">
        <v>42</v>
      </c>
      <c r="J163" t="s">
        <v>50</v>
      </c>
      <c r="K163" t="s">
        <v>38</v>
      </c>
      <c r="L163" t="s">
        <v>21</v>
      </c>
      <c r="M163">
        <v>6</v>
      </c>
      <c r="N163" t="s">
        <v>228</v>
      </c>
      <c r="O163" t="s">
        <v>229</v>
      </c>
      <c r="P163">
        <v>0</v>
      </c>
      <c r="Q163">
        <v>0</v>
      </c>
      <c r="R163">
        <v>0</v>
      </c>
      <c r="S163">
        <v>0</v>
      </c>
      <c r="T163">
        <v>0</v>
      </c>
      <c r="U163">
        <v>0</v>
      </c>
      <c r="V163">
        <v>1</v>
      </c>
      <c r="W163">
        <v>0</v>
      </c>
      <c r="X163">
        <v>0</v>
      </c>
    </row>
    <row r="164" spans="1:24" x14ac:dyDescent="0.3">
      <c r="A164" t="s">
        <v>284</v>
      </c>
      <c r="B164" s="2">
        <v>46289</v>
      </c>
      <c r="C164" s="2">
        <v>46293</v>
      </c>
      <c r="D164" t="s">
        <v>107</v>
      </c>
      <c r="E164" t="s">
        <v>69</v>
      </c>
      <c r="F164" t="s">
        <v>46</v>
      </c>
      <c r="G164">
        <v>11000</v>
      </c>
      <c r="H164">
        <v>103.53</v>
      </c>
      <c r="I164" t="s">
        <v>42</v>
      </c>
      <c r="J164" t="s">
        <v>50</v>
      </c>
      <c r="K164" t="s">
        <v>30</v>
      </c>
      <c r="L164" t="s">
        <v>23</v>
      </c>
      <c r="M164">
        <v>6</v>
      </c>
      <c r="N164" t="s">
        <v>228</v>
      </c>
      <c r="O164" t="s">
        <v>229</v>
      </c>
      <c r="P164">
        <v>0</v>
      </c>
      <c r="Q164">
        <v>0</v>
      </c>
      <c r="R164">
        <v>0</v>
      </c>
      <c r="S164">
        <v>0</v>
      </c>
      <c r="T164">
        <v>0</v>
      </c>
      <c r="U164">
        <v>0</v>
      </c>
      <c r="V164">
        <v>0</v>
      </c>
      <c r="W164">
        <v>0</v>
      </c>
      <c r="X164">
        <v>1</v>
      </c>
    </row>
    <row r="165" spans="1:24" x14ac:dyDescent="0.3">
      <c r="A165" t="s">
        <v>292</v>
      </c>
      <c r="B165" s="2">
        <v>46290</v>
      </c>
      <c r="C165" s="2">
        <v>46294</v>
      </c>
      <c r="D165" t="s">
        <v>134</v>
      </c>
      <c r="E165" t="s">
        <v>53</v>
      </c>
      <c r="F165" t="s">
        <v>27</v>
      </c>
      <c r="H165">
        <v>93.13</v>
      </c>
      <c r="I165" t="s">
        <v>42</v>
      </c>
      <c r="J165" t="s">
        <v>37</v>
      </c>
      <c r="K165" t="s">
        <v>38</v>
      </c>
      <c r="L165" t="s">
        <v>15</v>
      </c>
      <c r="M165">
        <v>5</v>
      </c>
      <c r="N165" t="s">
        <v>293</v>
      </c>
      <c r="O165" t="s">
        <v>294</v>
      </c>
      <c r="P165">
        <v>1</v>
      </c>
      <c r="Q165">
        <v>0</v>
      </c>
      <c r="R165">
        <v>0</v>
      </c>
      <c r="S165">
        <v>0</v>
      </c>
      <c r="T165">
        <v>0</v>
      </c>
      <c r="U165">
        <v>0</v>
      </c>
      <c r="V165">
        <v>0</v>
      </c>
      <c r="W165">
        <v>0</v>
      </c>
      <c r="X165">
        <v>0</v>
      </c>
    </row>
    <row r="166" spans="1:24" x14ac:dyDescent="0.3">
      <c r="A166" t="s">
        <v>295</v>
      </c>
      <c r="B166" s="2">
        <v>46290</v>
      </c>
      <c r="C166" s="2">
        <v>46294</v>
      </c>
      <c r="D166" t="s">
        <v>296</v>
      </c>
      <c r="E166" t="s">
        <v>74</v>
      </c>
      <c r="F166" t="s">
        <v>27</v>
      </c>
      <c r="G166">
        <v>1000</v>
      </c>
      <c r="H166">
        <v>92.46</v>
      </c>
      <c r="I166" t="s">
        <v>28</v>
      </c>
      <c r="J166" t="s">
        <v>50</v>
      </c>
      <c r="K166" t="s">
        <v>30</v>
      </c>
      <c r="L166" t="s">
        <v>16</v>
      </c>
      <c r="M166">
        <v>5</v>
      </c>
      <c r="N166" t="s">
        <v>293</v>
      </c>
      <c r="O166" t="s">
        <v>294</v>
      </c>
      <c r="P166">
        <v>0</v>
      </c>
      <c r="Q166">
        <v>1</v>
      </c>
      <c r="R166">
        <v>0</v>
      </c>
      <c r="S166">
        <v>0</v>
      </c>
      <c r="T166">
        <v>0</v>
      </c>
      <c r="U166">
        <v>0</v>
      </c>
      <c r="V166">
        <v>0</v>
      </c>
      <c r="W166">
        <v>0</v>
      </c>
      <c r="X166">
        <v>0</v>
      </c>
    </row>
    <row r="167" spans="1:24" x14ac:dyDescent="0.3">
      <c r="A167" t="s">
        <v>297</v>
      </c>
      <c r="B167" s="2">
        <v>46290</v>
      </c>
      <c r="C167" s="2">
        <v>46294</v>
      </c>
      <c r="D167" t="s">
        <v>298</v>
      </c>
      <c r="E167" t="s">
        <v>242</v>
      </c>
      <c r="F167" t="s">
        <v>46</v>
      </c>
      <c r="G167">
        <v>9100</v>
      </c>
      <c r="H167">
        <v>76.989999999999995</v>
      </c>
      <c r="I167" t="s">
        <v>42</v>
      </c>
      <c r="J167" t="s">
        <v>50</v>
      </c>
      <c r="K167" t="s">
        <v>30</v>
      </c>
      <c r="L167" t="s">
        <v>16</v>
      </c>
      <c r="M167">
        <v>5</v>
      </c>
      <c r="N167" t="s">
        <v>293</v>
      </c>
      <c r="O167" t="s">
        <v>294</v>
      </c>
      <c r="P167">
        <v>0</v>
      </c>
      <c r="Q167">
        <v>1</v>
      </c>
      <c r="R167">
        <v>0</v>
      </c>
      <c r="S167">
        <v>0</v>
      </c>
      <c r="T167">
        <v>0</v>
      </c>
      <c r="U167">
        <v>0</v>
      </c>
      <c r="V167">
        <v>0</v>
      </c>
      <c r="W167">
        <v>0</v>
      </c>
      <c r="X167">
        <v>0</v>
      </c>
    </row>
    <row r="168" spans="1:24" x14ac:dyDescent="0.3">
      <c r="A168" t="s">
        <v>299</v>
      </c>
      <c r="B168" s="2">
        <v>46290</v>
      </c>
      <c r="C168" s="2">
        <v>46294</v>
      </c>
      <c r="D168" t="s">
        <v>122</v>
      </c>
      <c r="E168" t="s">
        <v>116</v>
      </c>
      <c r="F168" t="s">
        <v>27</v>
      </c>
      <c r="G168">
        <v>900</v>
      </c>
      <c r="H168">
        <v>62.94</v>
      </c>
      <c r="I168" t="s">
        <v>36</v>
      </c>
      <c r="J168" t="s">
        <v>119</v>
      </c>
      <c r="K168" t="s">
        <v>38</v>
      </c>
      <c r="L168" t="s">
        <v>16</v>
      </c>
      <c r="M168">
        <v>5</v>
      </c>
      <c r="N168" t="s">
        <v>293</v>
      </c>
      <c r="O168" t="s">
        <v>294</v>
      </c>
      <c r="P168">
        <v>0</v>
      </c>
      <c r="Q168">
        <v>1</v>
      </c>
      <c r="R168">
        <v>0</v>
      </c>
      <c r="S168">
        <v>0</v>
      </c>
      <c r="T168">
        <v>0</v>
      </c>
      <c r="U168">
        <v>0</v>
      </c>
      <c r="V168">
        <v>0</v>
      </c>
      <c r="W168">
        <v>0</v>
      </c>
      <c r="X168">
        <v>0</v>
      </c>
    </row>
    <row r="169" spans="1:24" x14ac:dyDescent="0.3">
      <c r="A169" t="s">
        <v>300</v>
      </c>
      <c r="B169" s="2">
        <v>46290</v>
      </c>
      <c r="C169" s="2">
        <v>46294</v>
      </c>
      <c r="D169" t="s">
        <v>138</v>
      </c>
      <c r="E169" t="s">
        <v>301</v>
      </c>
      <c r="F169" t="s">
        <v>27</v>
      </c>
      <c r="G169">
        <v>20000</v>
      </c>
      <c r="H169">
        <v>99.2</v>
      </c>
      <c r="I169" t="s">
        <v>36</v>
      </c>
      <c r="J169" t="s">
        <v>60</v>
      </c>
      <c r="K169" t="s">
        <v>38</v>
      </c>
      <c r="L169" t="s">
        <v>17</v>
      </c>
      <c r="M169">
        <v>5</v>
      </c>
      <c r="N169" t="s">
        <v>293</v>
      </c>
      <c r="O169" t="s">
        <v>294</v>
      </c>
      <c r="P169">
        <v>0</v>
      </c>
      <c r="Q169">
        <v>0</v>
      </c>
      <c r="R169">
        <v>1</v>
      </c>
      <c r="S169">
        <v>0</v>
      </c>
      <c r="T169">
        <v>0</v>
      </c>
      <c r="U169">
        <v>0</v>
      </c>
      <c r="V169">
        <v>0</v>
      </c>
      <c r="W169">
        <v>0</v>
      </c>
      <c r="X169">
        <v>0</v>
      </c>
    </row>
    <row r="170" spans="1:24" x14ac:dyDescent="0.3">
      <c r="A170" t="s">
        <v>302</v>
      </c>
      <c r="B170" s="2">
        <v>46290</v>
      </c>
      <c r="C170" s="2">
        <v>46294</v>
      </c>
      <c r="D170" t="s">
        <v>63</v>
      </c>
      <c r="E170" t="s">
        <v>303</v>
      </c>
      <c r="F170" t="s">
        <v>27</v>
      </c>
      <c r="G170">
        <v>9000</v>
      </c>
      <c r="H170">
        <v>101.65</v>
      </c>
      <c r="I170" t="s">
        <v>42</v>
      </c>
      <c r="J170" t="s">
        <v>60</v>
      </c>
      <c r="K170" t="s">
        <v>38</v>
      </c>
      <c r="L170" t="s">
        <v>17</v>
      </c>
      <c r="M170">
        <v>5</v>
      </c>
      <c r="N170" t="s">
        <v>293</v>
      </c>
      <c r="O170" t="s">
        <v>294</v>
      </c>
      <c r="P170">
        <v>0</v>
      </c>
      <c r="Q170">
        <v>0</v>
      </c>
      <c r="R170">
        <v>1</v>
      </c>
      <c r="S170">
        <v>0</v>
      </c>
      <c r="T170">
        <v>0</v>
      </c>
      <c r="U170">
        <v>0</v>
      </c>
      <c r="V170">
        <v>0</v>
      </c>
      <c r="W170">
        <v>0</v>
      </c>
      <c r="X170">
        <v>0</v>
      </c>
    </row>
    <row r="171" spans="1:24" x14ac:dyDescent="0.3">
      <c r="A171" t="s">
        <v>304</v>
      </c>
      <c r="B171" s="2">
        <v>46290</v>
      </c>
      <c r="C171" s="2">
        <v>46288</v>
      </c>
      <c r="D171" t="s">
        <v>126</v>
      </c>
      <c r="E171" t="s">
        <v>255</v>
      </c>
      <c r="F171" t="s">
        <v>27</v>
      </c>
      <c r="G171">
        <v>9000</v>
      </c>
      <c r="H171">
        <v>25.07</v>
      </c>
      <c r="I171" t="s">
        <v>28</v>
      </c>
      <c r="J171" t="s">
        <v>119</v>
      </c>
      <c r="K171" t="s">
        <v>38</v>
      </c>
      <c r="L171" t="s">
        <v>18</v>
      </c>
      <c r="M171">
        <v>5</v>
      </c>
      <c r="N171" t="s">
        <v>293</v>
      </c>
      <c r="O171" t="s">
        <v>294</v>
      </c>
      <c r="P171">
        <v>0</v>
      </c>
      <c r="Q171">
        <v>0</v>
      </c>
      <c r="R171">
        <v>0</v>
      </c>
      <c r="S171">
        <v>1</v>
      </c>
      <c r="T171">
        <v>0</v>
      </c>
      <c r="U171">
        <v>0</v>
      </c>
      <c r="V171">
        <v>0</v>
      </c>
      <c r="W171">
        <v>0</v>
      </c>
      <c r="X171">
        <v>0</v>
      </c>
    </row>
    <row r="172" spans="1:24" x14ac:dyDescent="0.3">
      <c r="A172" t="s">
        <v>305</v>
      </c>
      <c r="B172" s="2">
        <v>46290</v>
      </c>
      <c r="C172" s="2">
        <v>46291</v>
      </c>
      <c r="D172" t="s">
        <v>84</v>
      </c>
      <c r="E172" t="s">
        <v>123</v>
      </c>
      <c r="F172" t="s">
        <v>46</v>
      </c>
      <c r="G172">
        <v>26500</v>
      </c>
      <c r="H172">
        <v>93.75</v>
      </c>
      <c r="I172" t="s">
        <v>36</v>
      </c>
      <c r="J172" t="s">
        <v>60</v>
      </c>
      <c r="K172" t="s">
        <v>30</v>
      </c>
      <c r="L172" t="s">
        <v>19</v>
      </c>
      <c r="M172">
        <v>5</v>
      </c>
      <c r="N172" t="s">
        <v>293</v>
      </c>
      <c r="O172" t="s">
        <v>294</v>
      </c>
      <c r="P172">
        <v>0</v>
      </c>
      <c r="Q172">
        <v>0</v>
      </c>
      <c r="R172">
        <v>0</v>
      </c>
      <c r="S172">
        <v>0</v>
      </c>
      <c r="T172">
        <v>1</v>
      </c>
      <c r="U172">
        <v>0</v>
      </c>
      <c r="V172">
        <v>0</v>
      </c>
      <c r="W172">
        <v>0</v>
      </c>
      <c r="X172">
        <v>0</v>
      </c>
    </row>
    <row r="173" spans="1:24" x14ac:dyDescent="0.3">
      <c r="A173" t="s">
        <v>306</v>
      </c>
      <c r="B173" s="2">
        <v>46290</v>
      </c>
      <c r="C173" s="2">
        <v>46291</v>
      </c>
      <c r="D173" t="s">
        <v>55</v>
      </c>
      <c r="E173" t="s">
        <v>81</v>
      </c>
      <c r="F173" t="s">
        <v>46</v>
      </c>
      <c r="G173">
        <v>14100</v>
      </c>
      <c r="H173">
        <v>190.23</v>
      </c>
      <c r="I173" t="s">
        <v>42</v>
      </c>
      <c r="J173" t="s">
        <v>37</v>
      </c>
      <c r="K173" t="s">
        <v>30</v>
      </c>
      <c r="L173" t="s">
        <v>19</v>
      </c>
      <c r="M173">
        <v>5</v>
      </c>
      <c r="N173" t="s">
        <v>293</v>
      </c>
      <c r="O173" t="s">
        <v>294</v>
      </c>
      <c r="P173">
        <v>0</v>
      </c>
      <c r="Q173">
        <v>0</v>
      </c>
      <c r="R173">
        <v>0</v>
      </c>
      <c r="S173">
        <v>0</v>
      </c>
      <c r="T173">
        <v>1</v>
      </c>
      <c r="U173">
        <v>0</v>
      </c>
      <c r="V173">
        <v>0</v>
      </c>
      <c r="W173">
        <v>0</v>
      </c>
      <c r="X173">
        <v>0</v>
      </c>
    </row>
    <row r="174" spans="1:24" x14ac:dyDescent="0.3">
      <c r="A174" t="s">
        <v>307</v>
      </c>
      <c r="B174" s="2">
        <v>46290</v>
      </c>
      <c r="C174" s="2">
        <v>46294</v>
      </c>
      <c r="D174" t="s">
        <v>105</v>
      </c>
      <c r="E174" t="s">
        <v>242</v>
      </c>
      <c r="F174" t="s">
        <v>46</v>
      </c>
      <c r="G174">
        <v>59700</v>
      </c>
      <c r="H174">
        <v>81.03</v>
      </c>
      <c r="I174" t="s">
        <v>42</v>
      </c>
      <c r="J174" t="s">
        <v>37</v>
      </c>
      <c r="K174" t="s">
        <v>30</v>
      </c>
      <c r="L174" t="s">
        <v>20</v>
      </c>
      <c r="M174">
        <v>5</v>
      </c>
      <c r="N174" t="s">
        <v>293</v>
      </c>
      <c r="O174" t="s">
        <v>294</v>
      </c>
      <c r="P174">
        <v>0</v>
      </c>
      <c r="Q174">
        <v>0</v>
      </c>
      <c r="R174">
        <v>0</v>
      </c>
      <c r="S174">
        <v>0</v>
      </c>
      <c r="T174">
        <v>0</v>
      </c>
      <c r="U174">
        <v>1</v>
      </c>
      <c r="V174">
        <v>0</v>
      </c>
      <c r="W174">
        <v>0</v>
      </c>
      <c r="X174">
        <v>0</v>
      </c>
    </row>
    <row r="175" spans="1:24" x14ac:dyDescent="0.3">
      <c r="A175" t="s">
        <v>308</v>
      </c>
      <c r="B175" s="2">
        <v>46290</v>
      </c>
      <c r="C175" s="2">
        <v>46294</v>
      </c>
      <c r="D175" t="s">
        <v>279</v>
      </c>
      <c r="E175" t="s">
        <v>309</v>
      </c>
      <c r="F175" t="s">
        <v>27</v>
      </c>
      <c r="G175">
        <v>67500</v>
      </c>
      <c r="H175">
        <v>79.88</v>
      </c>
      <c r="I175" t="s">
        <v>28</v>
      </c>
      <c r="J175" t="s">
        <v>50</v>
      </c>
      <c r="K175" t="s">
        <v>38</v>
      </c>
      <c r="L175" t="s">
        <v>20</v>
      </c>
      <c r="M175">
        <v>5</v>
      </c>
      <c r="N175" t="s">
        <v>293</v>
      </c>
      <c r="O175" t="s">
        <v>294</v>
      </c>
      <c r="P175">
        <v>0</v>
      </c>
      <c r="Q175">
        <v>0</v>
      </c>
      <c r="R175">
        <v>0</v>
      </c>
      <c r="S175">
        <v>0</v>
      </c>
      <c r="T175">
        <v>0</v>
      </c>
      <c r="U175">
        <v>1</v>
      </c>
      <c r="V175">
        <v>0</v>
      </c>
      <c r="W175">
        <v>0</v>
      </c>
      <c r="X175">
        <v>0</v>
      </c>
    </row>
    <row r="176" spans="1:24" x14ac:dyDescent="0.3">
      <c r="A176" t="s">
        <v>310</v>
      </c>
      <c r="B176" s="2">
        <v>46290</v>
      </c>
      <c r="C176" s="2">
        <v>46294</v>
      </c>
      <c r="D176" t="s">
        <v>84</v>
      </c>
      <c r="E176" t="s">
        <v>162</v>
      </c>
      <c r="F176" t="s">
        <v>46</v>
      </c>
      <c r="G176">
        <v>42600</v>
      </c>
      <c r="H176">
        <v>95.28</v>
      </c>
      <c r="I176" t="s">
        <v>36</v>
      </c>
      <c r="J176" t="s">
        <v>60</v>
      </c>
      <c r="K176" t="s">
        <v>38</v>
      </c>
      <c r="L176" t="s">
        <v>20</v>
      </c>
      <c r="M176">
        <v>5</v>
      </c>
      <c r="N176" t="s">
        <v>293</v>
      </c>
      <c r="O176" t="s">
        <v>294</v>
      </c>
      <c r="P176">
        <v>0</v>
      </c>
      <c r="Q176">
        <v>0</v>
      </c>
      <c r="R176">
        <v>0</v>
      </c>
      <c r="S176">
        <v>0</v>
      </c>
      <c r="T176">
        <v>0</v>
      </c>
      <c r="U176">
        <v>1</v>
      </c>
      <c r="V176">
        <v>0</v>
      </c>
      <c r="W176">
        <v>0</v>
      </c>
      <c r="X176">
        <v>0</v>
      </c>
    </row>
    <row r="177" spans="1:24" x14ac:dyDescent="0.3">
      <c r="A177" t="s">
        <v>311</v>
      </c>
      <c r="B177" s="2">
        <v>46290</v>
      </c>
      <c r="C177" s="2">
        <v>46294</v>
      </c>
      <c r="D177" t="s">
        <v>73</v>
      </c>
      <c r="E177" t="s">
        <v>66</v>
      </c>
      <c r="F177" t="s">
        <v>27</v>
      </c>
      <c r="G177">
        <v>28800</v>
      </c>
      <c r="H177">
        <v>72.489999999999995</v>
      </c>
      <c r="I177" t="s">
        <v>42</v>
      </c>
      <c r="J177" t="s">
        <v>37</v>
      </c>
      <c r="K177" t="s">
        <v>38</v>
      </c>
      <c r="L177" t="s">
        <v>21</v>
      </c>
      <c r="M177">
        <v>5</v>
      </c>
      <c r="N177" t="s">
        <v>293</v>
      </c>
      <c r="O177" t="s">
        <v>294</v>
      </c>
      <c r="P177">
        <v>0</v>
      </c>
      <c r="Q177">
        <v>0</v>
      </c>
      <c r="R177">
        <v>0</v>
      </c>
      <c r="S177">
        <v>0</v>
      </c>
      <c r="T177">
        <v>0</v>
      </c>
      <c r="U177">
        <v>0</v>
      </c>
      <c r="V177">
        <v>1</v>
      </c>
      <c r="W177">
        <v>0</v>
      </c>
      <c r="X177">
        <v>0</v>
      </c>
    </row>
    <row r="178" spans="1:24" x14ac:dyDescent="0.3">
      <c r="A178" t="s">
        <v>312</v>
      </c>
      <c r="B178" s="2">
        <v>46290</v>
      </c>
      <c r="C178" s="2">
        <v>46294</v>
      </c>
      <c r="D178" t="s">
        <v>68</v>
      </c>
      <c r="E178" t="s">
        <v>162</v>
      </c>
      <c r="F178" t="s">
        <v>46</v>
      </c>
      <c r="G178">
        <v>1000</v>
      </c>
      <c r="H178">
        <v>98.06</v>
      </c>
      <c r="I178" t="s">
        <v>42</v>
      </c>
      <c r="J178" t="s">
        <v>29</v>
      </c>
      <c r="K178" t="s">
        <v>38</v>
      </c>
      <c r="L178" t="s">
        <v>22</v>
      </c>
      <c r="M178">
        <v>5</v>
      </c>
      <c r="N178" t="s">
        <v>293</v>
      </c>
      <c r="O178" t="s">
        <v>294</v>
      </c>
      <c r="P178">
        <v>0</v>
      </c>
      <c r="Q178">
        <v>0</v>
      </c>
      <c r="R178">
        <v>0</v>
      </c>
      <c r="S178">
        <v>0</v>
      </c>
      <c r="T178">
        <v>0</v>
      </c>
      <c r="U178">
        <v>0</v>
      </c>
      <c r="V178">
        <v>0</v>
      </c>
      <c r="W178">
        <v>1</v>
      </c>
      <c r="X178">
        <v>0</v>
      </c>
    </row>
    <row r="179" spans="1:24" x14ac:dyDescent="0.3">
      <c r="A179" t="s">
        <v>313</v>
      </c>
      <c r="B179" s="2">
        <v>46293</v>
      </c>
      <c r="C179" s="2">
        <v>46295</v>
      </c>
      <c r="D179" t="s">
        <v>80</v>
      </c>
      <c r="E179" t="s">
        <v>116</v>
      </c>
      <c r="F179" t="s">
        <v>46</v>
      </c>
      <c r="G179">
        <v>8400</v>
      </c>
      <c r="H179">
        <v>62.48</v>
      </c>
      <c r="I179" t="s">
        <v>36</v>
      </c>
      <c r="J179" t="s">
        <v>119</v>
      </c>
      <c r="K179" t="s">
        <v>30</v>
      </c>
      <c r="L179" t="s">
        <v>23</v>
      </c>
      <c r="M179">
        <v>2</v>
      </c>
      <c r="N179" t="s">
        <v>314</v>
      </c>
      <c r="O179" t="s">
        <v>315</v>
      </c>
      <c r="P179">
        <v>0</v>
      </c>
      <c r="Q179">
        <v>0</v>
      </c>
      <c r="R179">
        <v>0</v>
      </c>
      <c r="S179">
        <v>0</v>
      </c>
      <c r="T179">
        <v>0</v>
      </c>
      <c r="U179">
        <v>0</v>
      </c>
      <c r="V179">
        <v>0</v>
      </c>
      <c r="W179">
        <v>0</v>
      </c>
      <c r="X179">
        <v>1</v>
      </c>
    </row>
    <row r="180" spans="1:24" x14ac:dyDescent="0.3">
      <c r="A180" t="s">
        <v>316</v>
      </c>
      <c r="B180" s="2">
        <v>46293</v>
      </c>
      <c r="D180" t="s">
        <v>214</v>
      </c>
      <c r="E180" t="s">
        <v>92</v>
      </c>
      <c r="F180" t="s">
        <v>46</v>
      </c>
      <c r="G180">
        <v>29500</v>
      </c>
      <c r="H180">
        <v>118.23</v>
      </c>
      <c r="I180" t="s">
        <v>28</v>
      </c>
      <c r="J180" t="s">
        <v>60</v>
      </c>
      <c r="K180" t="s">
        <v>38</v>
      </c>
      <c r="L180" t="s">
        <v>15</v>
      </c>
      <c r="M180">
        <v>2</v>
      </c>
      <c r="N180" t="s">
        <v>314</v>
      </c>
      <c r="O180" t="s">
        <v>315</v>
      </c>
      <c r="P180">
        <v>1</v>
      </c>
      <c r="Q180">
        <v>0</v>
      </c>
      <c r="R180">
        <v>0</v>
      </c>
      <c r="S180">
        <v>0</v>
      </c>
      <c r="T180">
        <v>0</v>
      </c>
      <c r="U180">
        <v>0</v>
      </c>
      <c r="V180">
        <v>0</v>
      </c>
      <c r="W180">
        <v>0</v>
      </c>
      <c r="X180">
        <v>0</v>
      </c>
    </row>
    <row r="181" spans="1:24" x14ac:dyDescent="0.3">
      <c r="A181" t="s">
        <v>317</v>
      </c>
      <c r="B181" s="2">
        <v>46293</v>
      </c>
      <c r="C181" s="2">
        <v>46295</v>
      </c>
      <c r="D181" t="s">
        <v>318</v>
      </c>
      <c r="E181" t="s">
        <v>127</v>
      </c>
      <c r="F181" t="s">
        <v>46</v>
      </c>
      <c r="G181">
        <v>9000</v>
      </c>
      <c r="H181">
        <v>103.24</v>
      </c>
      <c r="I181" t="s">
        <v>36</v>
      </c>
      <c r="J181" t="s">
        <v>60</v>
      </c>
      <c r="K181" t="s">
        <v>38</v>
      </c>
      <c r="L181" t="s">
        <v>16</v>
      </c>
      <c r="M181">
        <v>2</v>
      </c>
      <c r="N181" t="s">
        <v>314</v>
      </c>
      <c r="O181" t="s">
        <v>315</v>
      </c>
      <c r="P181">
        <v>0</v>
      </c>
      <c r="Q181">
        <v>1</v>
      </c>
      <c r="R181">
        <v>0</v>
      </c>
      <c r="S181">
        <v>0</v>
      </c>
      <c r="T181">
        <v>0</v>
      </c>
      <c r="U181">
        <v>0</v>
      </c>
      <c r="V181">
        <v>0</v>
      </c>
      <c r="W181">
        <v>0</v>
      </c>
      <c r="X181">
        <v>0</v>
      </c>
    </row>
    <row r="182" spans="1:24" x14ac:dyDescent="0.3">
      <c r="A182" t="s">
        <v>319</v>
      </c>
      <c r="B182" s="2">
        <v>46293</v>
      </c>
      <c r="C182" s="2">
        <v>46290</v>
      </c>
      <c r="D182" t="s">
        <v>134</v>
      </c>
      <c r="E182" t="s">
        <v>127</v>
      </c>
      <c r="F182" t="s">
        <v>46</v>
      </c>
      <c r="G182">
        <v>14000</v>
      </c>
      <c r="H182">
        <v>102.55</v>
      </c>
      <c r="I182" t="s">
        <v>36</v>
      </c>
      <c r="J182" t="s">
        <v>60</v>
      </c>
      <c r="K182" t="s">
        <v>38</v>
      </c>
      <c r="L182" t="s">
        <v>18</v>
      </c>
      <c r="M182">
        <v>2</v>
      </c>
      <c r="N182" t="s">
        <v>314</v>
      </c>
      <c r="O182" t="s">
        <v>315</v>
      </c>
      <c r="P182">
        <v>0</v>
      </c>
      <c r="Q182">
        <v>0</v>
      </c>
      <c r="R182">
        <v>0</v>
      </c>
      <c r="S182">
        <v>1</v>
      </c>
      <c r="T182">
        <v>0</v>
      </c>
      <c r="U182">
        <v>0</v>
      </c>
      <c r="V182">
        <v>0</v>
      </c>
      <c r="W182">
        <v>0</v>
      </c>
      <c r="X182">
        <v>0</v>
      </c>
    </row>
    <row r="183" spans="1:24" x14ac:dyDescent="0.3">
      <c r="A183" t="s">
        <v>320</v>
      </c>
      <c r="B183" s="2">
        <v>46293</v>
      </c>
      <c r="C183" s="2">
        <v>46298</v>
      </c>
      <c r="D183" t="s">
        <v>63</v>
      </c>
      <c r="E183" t="s">
        <v>140</v>
      </c>
      <c r="F183" t="s">
        <v>27</v>
      </c>
      <c r="G183">
        <v>4000</v>
      </c>
      <c r="H183">
        <v>105.49</v>
      </c>
      <c r="I183" t="s">
        <v>36</v>
      </c>
      <c r="J183" t="s">
        <v>60</v>
      </c>
      <c r="K183" t="s">
        <v>30</v>
      </c>
      <c r="L183" t="s">
        <v>19</v>
      </c>
      <c r="M183">
        <v>2</v>
      </c>
      <c r="N183" t="s">
        <v>314</v>
      </c>
      <c r="O183" t="s">
        <v>315</v>
      </c>
      <c r="P183">
        <v>0</v>
      </c>
      <c r="Q183">
        <v>0</v>
      </c>
      <c r="R183">
        <v>0</v>
      </c>
      <c r="S183">
        <v>0</v>
      </c>
      <c r="T183">
        <v>1</v>
      </c>
      <c r="U183">
        <v>0</v>
      </c>
      <c r="V183">
        <v>0</v>
      </c>
      <c r="W183">
        <v>0</v>
      </c>
      <c r="X183">
        <v>0</v>
      </c>
    </row>
    <row r="184" spans="1:24" x14ac:dyDescent="0.3">
      <c r="A184" t="s">
        <v>321</v>
      </c>
      <c r="B184" s="2">
        <v>46293</v>
      </c>
      <c r="C184" s="2">
        <v>46295</v>
      </c>
      <c r="D184" t="s">
        <v>25</v>
      </c>
      <c r="E184" t="s">
        <v>255</v>
      </c>
      <c r="F184" t="s">
        <v>27</v>
      </c>
      <c r="G184">
        <v>125400</v>
      </c>
      <c r="H184">
        <v>25.36</v>
      </c>
      <c r="I184" t="s">
        <v>28</v>
      </c>
      <c r="J184" t="s">
        <v>50</v>
      </c>
      <c r="K184" t="s">
        <v>38</v>
      </c>
      <c r="L184" t="s">
        <v>20</v>
      </c>
      <c r="M184">
        <v>2</v>
      </c>
      <c r="N184" t="s">
        <v>314</v>
      </c>
      <c r="O184" t="s">
        <v>315</v>
      </c>
      <c r="P184">
        <v>0</v>
      </c>
      <c r="Q184">
        <v>0</v>
      </c>
      <c r="R184">
        <v>0</v>
      </c>
      <c r="S184">
        <v>0</v>
      </c>
      <c r="T184">
        <v>0</v>
      </c>
      <c r="U184">
        <v>1</v>
      </c>
      <c r="V184">
        <v>0</v>
      </c>
      <c r="W184">
        <v>0</v>
      </c>
      <c r="X184">
        <v>0</v>
      </c>
    </row>
    <row r="185" spans="1:24" x14ac:dyDescent="0.3">
      <c r="A185" t="s">
        <v>322</v>
      </c>
      <c r="B185" s="2">
        <v>46293</v>
      </c>
      <c r="C185" s="2">
        <v>46295</v>
      </c>
      <c r="D185" t="s">
        <v>323</v>
      </c>
      <c r="E185" t="s">
        <v>242</v>
      </c>
      <c r="F185" t="s">
        <v>27</v>
      </c>
      <c r="G185">
        <v>64600</v>
      </c>
      <c r="H185">
        <v>78.34</v>
      </c>
      <c r="I185" t="s">
        <v>42</v>
      </c>
      <c r="J185" t="s">
        <v>119</v>
      </c>
      <c r="K185" t="s">
        <v>38</v>
      </c>
      <c r="L185" t="s">
        <v>20</v>
      </c>
      <c r="M185">
        <v>2</v>
      </c>
      <c r="N185" t="s">
        <v>314</v>
      </c>
      <c r="O185" t="s">
        <v>315</v>
      </c>
      <c r="P185">
        <v>0</v>
      </c>
      <c r="Q185">
        <v>0</v>
      </c>
      <c r="R185">
        <v>0</v>
      </c>
      <c r="S185">
        <v>0</v>
      </c>
      <c r="T185">
        <v>0</v>
      </c>
      <c r="U185">
        <v>1</v>
      </c>
      <c r="V185">
        <v>0</v>
      </c>
      <c r="W185">
        <v>0</v>
      </c>
      <c r="X185">
        <v>0</v>
      </c>
    </row>
    <row r="186" spans="1:24" x14ac:dyDescent="0.3">
      <c r="A186" t="s">
        <v>313</v>
      </c>
      <c r="B186" s="2">
        <v>46293</v>
      </c>
      <c r="C186" s="2">
        <v>46295</v>
      </c>
      <c r="D186" t="s">
        <v>80</v>
      </c>
      <c r="E186" t="s">
        <v>116</v>
      </c>
      <c r="F186" t="s">
        <v>46</v>
      </c>
      <c r="G186">
        <v>8400</v>
      </c>
      <c r="H186">
        <v>62.48</v>
      </c>
      <c r="I186" t="s">
        <v>36</v>
      </c>
      <c r="J186" t="s">
        <v>119</v>
      </c>
      <c r="K186" t="s">
        <v>30</v>
      </c>
      <c r="L186" t="s">
        <v>23</v>
      </c>
      <c r="M186">
        <v>2</v>
      </c>
      <c r="N186" t="s">
        <v>314</v>
      </c>
      <c r="O186" t="s">
        <v>315</v>
      </c>
      <c r="P186">
        <v>0</v>
      </c>
      <c r="Q186">
        <v>0</v>
      </c>
      <c r="R186">
        <v>0</v>
      </c>
      <c r="S186">
        <v>0</v>
      </c>
      <c r="T186">
        <v>0</v>
      </c>
      <c r="U186">
        <v>0</v>
      </c>
      <c r="V186">
        <v>0</v>
      </c>
      <c r="W186">
        <v>0</v>
      </c>
      <c r="X186">
        <v>1</v>
      </c>
    </row>
    <row r="187" spans="1:24" x14ac:dyDescent="0.3">
      <c r="A187" t="s">
        <v>324</v>
      </c>
      <c r="B187" s="2">
        <v>46294</v>
      </c>
      <c r="C187" s="2">
        <v>46296</v>
      </c>
      <c r="E187" t="s">
        <v>242</v>
      </c>
      <c r="F187" t="s">
        <v>27</v>
      </c>
      <c r="G187">
        <v>11600</v>
      </c>
      <c r="H187">
        <v>80.05</v>
      </c>
      <c r="I187" t="s">
        <v>42</v>
      </c>
      <c r="J187" t="s">
        <v>29</v>
      </c>
      <c r="K187" t="s">
        <v>38</v>
      </c>
      <c r="L187" t="s">
        <v>15</v>
      </c>
      <c r="M187">
        <v>1</v>
      </c>
      <c r="N187" t="s">
        <v>314</v>
      </c>
      <c r="O187" t="s">
        <v>315</v>
      </c>
      <c r="P187">
        <v>1</v>
      </c>
      <c r="Q187">
        <v>0</v>
      </c>
      <c r="R187">
        <v>0</v>
      </c>
      <c r="S187">
        <v>0</v>
      </c>
      <c r="T187">
        <v>0</v>
      </c>
      <c r="U187">
        <v>0</v>
      </c>
      <c r="V187">
        <v>0</v>
      </c>
      <c r="W187">
        <v>0</v>
      </c>
      <c r="X187">
        <v>0</v>
      </c>
    </row>
    <row r="188" spans="1:24" x14ac:dyDescent="0.3">
      <c r="A188" t="s">
        <v>325</v>
      </c>
      <c r="B188" s="2">
        <v>46294</v>
      </c>
      <c r="C188" s="2">
        <v>46296</v>
      </c>
      <c r="D188" t="s">
        <v>107</v>
      </c>
      <c r="E188" t="s">
        <v>326</v>
      </c>
      <c r="F188" t="s">
        <v>27</v>
      </c>
      <c r="G188">
        <v>7000</v>
      </c>
      <c r="H188">
        <v>104.05</v>
      </c>
      <c r="I188" t="s">
        <v>36</v>
      </c>
      <c r="J188" t="s">
        <v>29</v>
      </c>
      <c r="K188" t="s">
        <v>38</v>
      </c>
      <c r="L188" t="s">
        <v>17</v>
      </c>
      <c r="M188">
        <v>1</v>
      </c>
      <c r="N188" t="s">
        <v>314</v>
      </c>
      <c r="O188" t="s">
        <v>315</v>
      </c>
      <c r="P188">
        <v>0</v>
      </c>
      <c r="Q188">
        <v>0</v>
      </c>
      <c r="R188">
        <v>1</v>
      </c>
      <c r="S188">
        <v>0</v>
      </c>
      <c r="T188">
        <v>0</v>
      </c>
      <c r="U188">
        <v>0</v>
      </c>
      <c r="V188">
        <v>0</v>
      </c>
      <c r="W188">
        <v>0</v>
      </c>
      <c r="X188">
        <v>0</v>
      </c>
    </row>
    <row r="189" spans="1:24" x14ac:dyDescent="0.3">
      <c r="A189" t="s">
        <v>327</v>
      </c>
      <c r="B189" s="2">
        <v>46294</v>
      </c>
      <c r="C189" s="2">
        <v>46296</v>
      </c>
      <c r="D189" t="s">
        <v>73</v>
      </c>
      <c r="E189" t="s">
        <v>69</v>
      </c>
      <c r="F189" t="s">
        <v>46</v>
      </c>
      <c r="G189">
        <v>5000</v>
      </c>
      <c r="H189">
        <v>104.27</v>
      </c>
      <c r="I189" t="s">
        <v>42</v>
      </c>
      <c r="J189" t="s">
        <v>60</v>
      </c>
      <c r="K189" t="s">
        <v>30</v>
      </c>
      <c r="L189" t="s">
        <v>21</v>
      </c>
      <c r="M189">
        <v>1</v>
      </c>
      <c r="N189" t="s">
        <v>314</v>
      </c>
      <c r="O189" t="s">
        <v>315</v>
      </c>
      <c r="P189">
        <v>0</v>
      </c>
      <c r="Q189">
        <v>0</v>
      </c>
      <c r="R189">
        <v>0</v>
      </c>
      <c r="S189">
        <v>0</v>
      </c>
      <c r="T189">
        <v>0</v>
      </c>
      <c r="U189">
        <v>0</v>
      </c>
      <c r="V189">
        <v>1</v>
      </c>
      <c r="W189">
        <v>0</v>
      </c>
      <c r="X189">
        <v>0</v>
      </c>
    </row>
    <row r="190" spans="1:24" x14ac:dyDescent="0.3">
      <c r="A190" t="s">
        <v>328</v>
      </c>
      <c r="B190" s="2">
        <v>46294</v>
      </c>
      <c r="C190" s="2">
        <v>46296</v>
      </c>
      <c r="D190" t="s">
        <v>84</v>
      </c>
      <c r="E190" t="s">
        <v>127</v>
      </c>
      <c r="F190" t="s">
        <v>46</v>
      </c>
      <c r="G190">
        <v>10000</v>
      </c>
      <c r="H190">
        <v>100.28</v>
      </c>
      <c r="I190" t="s">
        <v>42</v>
      </c>
      <c r="J190" t="s">
        <v>119</v>
      </c>
      <c r="K190" t="s">
        <v>30</v>
      </c>
      <c r="L190" t="s">
        <v>22</v>
      </c>
      <c r="M190">
        <v>1</v>
      </c>
      <c r="N190" t="s">
        <v>314</v>
      </c>
      <c r="O190" t="s">
        <v>315</v>
      </c>
      <c r="P190">
        <v>0</v>
      </c>
      <c r="Q190">
        <v>0</v>
      </c>
      <c r="R190">
        <v>0</v>
      </c>
      <c r="S190">
        <v>0</v>
      </c>
      <c r="T190">
        <v>0</v>
      </c>
      <c r="U190">
        <v>0</v>
      </c>
      <c r="V190">
        <v>0</v>
      </c>
      <c r="W190">
        <v>1</v>
      </c>
      <c r="X190">
        <v>0</v>
      </c>
    </row>
    <row r="191" spans="1:24" x14ac:dyDescent="0.3">
      <c r="A191" t="s">
        <v>329</v>
      </c>
      <c r="B191" s="2">
        <v>46295</v>
      </c>
      <c r="C191" s="2">
        <v>46297</v>
      </c>
      <c r="E191" t="s">
        <v>188</v>
      </c>
      <c r="F191" t="s">
        <v>46</v>
      </c>
      <c r="G191">
        <v>18000</v>
      </c>
      <c r="H191">
        <v>100.09</v>
      </c>
      <c r="I191" t="s">
        <v>42</v>
      </c>
      <c r="J191" t="s">
        <v>119</v>
      </c>
      <c r="K191" t="s">
        <v>38</v>
      </c>
      <c r="L191" t="s">
        <v>15</v>
      </c>
      <c r="M191">
        <v>0</v>
      </c>
      <c r="N191" t="s">
        <v>314</v>
      </c>
      <c r="O191" t="s">
        <v>315</v>
      </c>
      <c r="P191">
        <v>1</v>
      </c>
      <c r="Q191">
        <v>0</v>
      </c>
      <c r="R191">
        <v>0</v>
      </c>
      <c r="S191">
        <v>0</v>
      </c>
      <c r="T191">
        <v>0</v>
      </c>
      <c r="U191">
        <v>0</v>
      </c>
      <c r="V191">
        <v>0</v>
      </c>
      <c r="W191">
        <v>0</v>
      </c>
      <c r="X191">
        <v>0</v>
      </c>
    </row>
    <row r="192" spans="1:24" x14ac:dyDescent="0.3">
      <c r="A192" t="s">
        <v>330</v>
      </c>
      <c r="B192" s="2">
        <v>46295</v>
      </c>
      <c r="D192" t="s">
        <v>212</v>
      </c>
      <c r="E192" t="s">
        <v>258</v>
      </c>
      <c r="F192" t="s">
        <v>46</v>
      </c>
      <c r="G192">
        <v>31800</v>
      </c>
      <c r="H192">
        <v>106.29</v>
      </c>
      <c r="I192" t="s">
        <v>36</v>
      </c>
      <c r="J192" t="s">
        <v>119</v>
      </c>
      <c r="K192" t="s">
        <v>38</v>
      </c>
      <c r="L192" t="s">
        <v>15</v>
      </c>
      <c r="M192">
        <v>0</v>
      </c>
      <c r="N192" t="s">
        <v>314</v>
      </c>
      <c r="O192" t="s">
        <v>315</v>
      </c>
      <c r="P192">
        <v>1</v>
      </c>
      <c r="Q192">
        <v>0</v>
      </c>
      <c r="R192">
        <v>0</v>
      </c>
      <c r="S192">
        <v>0</v>
      </c>
      <c r="T192">
        <v>0</v>
      </c>
      <c r="U192">
        <v>0</v>
      </c>
      <c r="V192">
        <v>0</v>
      </c>
      <c r="W192">
        <v>0</v>
      </c>
      <c r="X192">
        <v>0</v>
      </c>
    </row>
    <row r="193" spans="1:24" x14ac:dyDescent="0.3">
      <c r="A193" t="s">
        <v>331</v>
      </c>
      <c r="B193" s="2">
        <v>46295</v>
      </c>
      <c r="C193" s="2">
        <v>46297</v>
      </c>
      <c r="D193" t="s">
        <v>122</v>
      </c>
      <c r="E193" t="s">
        <v>74</v>
      </c>
      <c r="F193" t="s">
        <v>27</v>
      </c>
      <c r="G193">
        <v>7000</v>
      </c>
      <c r="H193">
        <v>94.54</v>
      </c>
      <c r="I193" t="s">
        <v>28</v>
      </c>
      <c r="J193" t="s">
        <v>60</v>
      </c>
      <c r="K193" t="s">
        <v>38</v>
      </c>
      <c r="L193" t="s">
        <v>16</v>
      </c>
      <c r="M193">
        <v>0</v>
      </c>
      <c r="N193" t="s">
        <v>314</v>
      </c>
      <c r="O193" t="s">
        <v>315</v>
      </c>
      <c r="P193">
        <v>0</v>
      </c>
      <c r="Q193">
        <v>1</v>
      </c>
      <c r="R193">
        <v>0</v>
      </c>
      <c r="S193">
        <v>0</v>
      </c>
      <c r="T193">
        <v>0</v>
      </c>
      <c r="U193">
        <v>0</v>
      </c>
      <c r="V193">
        <v>0</v>
      </c>
      <c r="W193">
        <v>0</v>
      </c>
      <c r="X193">
        <v>0</v>
      </c>
    </row>
    <row r="194" spans="1:24" x14ac:dyDescent="0.3">
      <c r="A194" t="s">
        <v>332</v>
      </c>
      <c r="B194" s="2">
        <v>46295</v>
      </c>
      <c r="C194" s="2">
        <v>46297</v>
      </c>
      <c r="D194" t="s">
        <v>132</v>
      </c>
      <c r="E194" t="s">
        <v>333</v>
      </c>
      <c r="F194" t="s">
        <v>46</v>
      </c>
      <c r="G194">
        <v>26700</v>
      </c>
      <c r="H194">
        <v>107.34</v>
      </c>
      <c r="I194" t="s">
        <v>36</v>
      </c>
      <c r="J194" t="s">
        <v>29</v>
      </c>
      <c r="K194" t="s">
        <v>38</v>
      </c>
      <c r="L194" t="s">
        <v>17</v>
      </c>
      <c r="M194">
        <v>0</v>
      </c>
      <c r="N194" t="s">
        <v>314</v>
      </c>
      <c r="O194" t="s">
        <v>315</v>
      </c>
      <c r="P194">
        <v>0</v>
      </c>
      <c r="Q194">
        <v>0</v>
      </c>
      <c r="R194">
        <v>1</v>
      </c>
      <c r="S194">
        <v>0</v>
      </c>
      <c r="T194">
        <v>0</v>
      </c>
      <c r="U194">
        <v>0</v>
      </c>
      <c r="V194">
        <v>0</v>
      </c>
      <c r="W194">
        <v>0</v>
      </c>
      <c r="X194">
        <v>0</v>
      </c>
    </row>
    <row r="195" spans="1:24" x14ac:dyDescent="0.3">
      <c r="A195" t="s">
        <v>334</v>
      </c>
      <c r="B195" s="2">
        <v>46295</v>
      </c>
      <c r="C195" s="2">
        <v>46298</v>
      </c>
      <c r="D195" t="s">
        <v>126</v>
      </c>
      <c r="E195" t="s">
        <v>140</v>
      </c>
      <c r="F195" t="s">
        <v>46</v>
      </c>
      <c r="G195">
        <v>13000</v>
      </c>
      <c r="H195">
        <v>106.62</v>
      </c>
      <c r="I195" t="s">
        <v>36</v>
      </c>
      <c r="J195" t="s">
        <v>60</v>
      </c>
      <c r="K195" t="s">
        <v>38</v>
      </c>
      <c r="L195" t="s">
        <v>19</v>
      </c>
      <c r="M195">
        <v>0</v>
      </c>
      <c r="N195" t="s">
        <v>314</v>
      </c>
      <c r="O195" t="s">
        <v>315</v>
      </c>
      <c r="P195">
        <v>0</v>
      </c>
      <c r="Q195">
        <v>0</v>
      </c>
      <c r="R195">
        <v>0</v>
      </c>
      <c r="S195">
        <v>0</v>
      </c>
      <c r="T195">
        <v>1</v>
      </c>
      <c r="U195">
        <v>0</v>
      </c>
      <c r="V195">
        <v>0</v>
      </c>
      <c r="W195">
        <v>0</v>
      </c>
      <c r="X195">
        <v>0</v>
      </c>
    </row>
    <row r="196" spans="1:24" x14ac:dyDescent="0.3">
      <c r="A196" t="s">
        <v>335</v>
      </c>
      <c r="B196" s="2">
        <v>46295</v>
      </c>
      <c r="C196" s="2">
        <v>46297</v>
      </c>
      <c r="D196" t="s">
        <v>212</v>
      </c>
      <c r="E196" t="s">
        <v>147</v>
      </c>
      <c r="F196" t="s">
        <v>46</v>
      </c>
      <c r="G196">
        <v>15500</v>
      </c>
      <c r="H196">
        <v>43.25</v>
      </c>
      <c r="I196" t="s">
        <v>42</v>
      </c>
      <c r="J196" t="s">
        <v>119</v>
      </c>
      <c r="K196" t="s">
        <v>38</v>
      </c>
      <c r="L196" t="s">
        <v>22</v>
      </c>
      <c r="M196">
        <v>0</v>
      </c>
      <c r="N196" t="s">
        <v>314</v>
      </c>
      <c r="O196" t="s">
        <v>315</v>
      </c>
      <c r="P196">
        <v>0</v>
      </c>
      <c r="Q196">
        <v>0</v>
      </c>
      <c r="R196">
        <v>0</v>
      </c>
      <c r="S196">
        <v>0</v>
      </c>
      <c r="T196">
        <v>0</v>
      </c>
      <c r="U196">
        <v>0</v>
      </c>
      <c r="V196">
        <v>0</v>
      </c>
      <c r="W196">
        <v>1</v>
      </c>
      <c r="X196">
        <v>0</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DEEA0-4BF2-4CDF-B08A-4523EE322AB9}">
  <dimension ref="A3:K24"/>
  <sheetViews>
    <sheetView workbookViewId="0">
      <selection activeCell="E7" sqref="E7"/>
    </sheetView>
  </sheetViews>
  <sheetFormatPr defaultRowHeight="14.4" x14ac:dyDescent="0.3"/>
  <cols>
    <col min="1" max="1" width="22.77734375" bestFit="1" customWidth="1"/>
    <col min="2" max="2" width="3" bestFit="1" customWidth="1"/>
    <col min="3" max="3" width="23.44140625" bestFit="1" customWidth="1"/>
    <col min="4" max="4" width="12.5546875" bestFit="1" customWidth="1"/>
    <col min="5" max="5" width="15.88671875" bestFit="1" customWidth="1"/>
    <col min="6" max="6" width="24.33203125" bestFit="1" customWidth="1"/>
    <col min="7" max="7" width="12.5546875" bestFit="1" customWidth="1"/>
    <col min="8" max="8" width="15.88671875" bestFit="1" customWidth="1"/>
    <col min="9" max="9" width="23.5546875" bestFit="1" customWidth="1"/>
    <col min="10" max="10" width="12.5546875" bestFit="1" customWidth="1"/>
    <col min="11" max="11" width="15.88671875" bestFit="1" customWidth="1"/>
  </cols>
  <sheetData>
    <row r="3" spans="1:11" x14ac:dyDescent="0.3">
      <c r="A3" t="s">
        <v>341</v>
      </c>
      <c r="B3" t="s">
        <v>342</v>
      </c>
      <c r="D3" s="4" t="s">
        <v>339</v>
      </c>
      <c r="E3" t="s">
        <v>341</v>
      </c>
      <c r="G3" s="4" t="s">
        <v>339</v>
      </c>
      <c r="H3" t="s">
        <v>341</v>
      </c>
      <c r="J3" s="4" t="s">
        <v>339</v>
      </c>
      <c r="K3" t="s">
        <v>341</v>
      </c>
    </row>
    <row r="4" spans="1:11" x14ac:dyDescent="0.3">
      <c r="A4" s="13">
        <v>195</v>
      </c>
      <c r="B4" s="6">
        <v>12.066666666666666</v>
      </c>
      <c r="D4" s="5" t="s">
        <v>314</v>
      </c>
      <c r="E4" s="13">
        <v>18</v>
      </c>
      <c r="G4" s="5" t="s">
        <v>30</v>
      </c>
      <c r="H4" s="13">
        <v>69</v>
      </c>
      <c r="J4" s="5" t="s">
        <v>37</v>
      </c>
      <c r="K4" s="13">
        <v>47</v>
      </c>
    </row>
    <row r="5" spans="1:11" x14ac:dyDescent="0.3">
      <c r="D5" s="5" t="s">
        <v>293</v>
      </c>
      <c r="E5" s="13">
        <v>14</v>
      </c>
      <c r="G5" s="5" t="s">
        <v>38</v>
      </c>
      <c r="H5" s="13">
        <v>126</v>
      </c>
      <c r="J5" s="5" t="s">
        <v>50</v>
      </c>
      <c r="K5" s="13">
        <v>38</v>
      </c>
    </row>
    <row r="6" spans="1:11" x14ac:dyDescent="0.3">
      <c r="D6" s="5" t="s">
        <v>228</v>
      </c>
      <c r="E6" s="13">
        <v>52</v>
      </c>
      <c r="G6" s="5" t="s">
        <v>340</v>
      </c>
      <c r="H6" s="13">
        <v>195</v>
      </c>
      <c r="J6" s="5" t="s">
        <v>60</v>
      </c>
      <c r="K6" s="13">
        <v>38</v>
      </c>
    </row>
    <row r="7" spans="1:11" x14ac:dyDescent="0.3">
      <c r="D7" s="5" t="s">
        <v>31</v>
      </c>
      <c r="E7" s="13">
        <v>111</v>
      </c>
      <c r="J7" s="5" t="s">
        <v>29</v>
      </c>
      <c r="K7" s="13">
        <v>37</v>
      </c>
    </row>
    <row r="8" spans="1:11" x14ac:dyDescent="0.3">
      <c r="D8" s="5" t="s">
        <v>340</v>
      </c>
      <c r="E8" s="13">
        <v>195</v>
      </c>
      <c r="J8" s="5" t="s">
        <v>119</v>
      </c>
      <c r="K8" s="13">
        <v>35</v>
      </c>
    </row>
    <row r="9" spans="1:11" x14ac:dyDescent="0.3">
      <c r="J9" s="5" t="s">
        <v>340</v>
      </c>
      <c r="K9" s="13">
        <v>195</v>
      </c>
    </row>
    <row r="15" spans="1:11" x14ac:dyDescent="0.3">
      <c r="A15" s="4" t="s">
        <v>343</v>
      </c>
    </row>
    <row r="16" spans="1:11" x14ac:dyDescent="0.3">
      <c r="A16" s="5" t="s">
        <v>344</v>
      </c>
      <c r="B16" s="13">
        <v>30</v>
      </c>
    </row>
    <row r="17" spans="1:2" x14ac:dyDescent="0.3">
      <c r="A17" s="5" t="s">
        <v>345</v>
      </c>
      <c r="B17" s="13">
        <v>25</v>
      </c>
    </row>
    <row r="18" spans="1:2" x14ac:dyDescent="0.3">
      <c r="A18" s="5" t="s">
        <v>346</v>
      </c>
      <c r="B18" s="13">
        <v>25</v>
      </c>
    </row>
    <row r="19" spans="1:2" x14ac:dyDescent="0.3">
      <c r="A19" s="5" t="s">
        <v>347</v>
      </c>
      <c r="B19" s="13">
        <v>25</v>
      </c>
    </row>
    <row r="20" spans="1:2" x14ac:dyDescent="0.3">
      <c r="A20" s="5" t="s">
        <v>348</v>
      </c>
      <c r="B20" s="13">
        <v>22</v>
      </c>
    </row>
    <row r="21" spans="1:2" x14ac:dyDescent="0.3">
      <c r="A21" s="5" t="s">
        <v>349</v>
      </c>
      <c r="B21" s="13">
        <v>20</v>
      </c>
    </row>
    <row r="22" spans="1:2" x14ac:dyDescent="0.3">
      <c r="A22" s="5" t="s">
        <v>350</v>
      </c>
      <c r="B22" s="13">
        <v>20</v>
      </c>
    </row>
    <row r="23" spans="1:2" x14ac:dyDescent="0.3">
      <c r="A23" s="5" t="s">
        <v>351</v>
      </c>
      <c r="B23" s="13">
        <v>15</v>
      </c>
    </row>
    <row r="24" spans="1:2" x14ac:dyDescent="0.3">
      <c r="A24" s="5" t="s">
        <v>352</v>
      </c>
      <c r="B24" s="13">
        <v>15</v>
      </c>
    </row>
  </sheetData>
  <sortState xmlns:xlrd2="http://schemas.microsoft.com/office/spreadsheetml/2017/richdata2" ref="A15:B24">
    <sortCondition descending="1" ref="B16"/>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F9B341-073C-4E66-82B6-46D7BCDDD05E}">
  <sheetPr>
    <pageSetUpPr fitToPage="1"/>
  </sheetPr>
  <dimension ref="A1:Y8"/>
  <sheetViews>
    <sheetView showGridLines="0" tabSelected="1" workbookViewId="0">
      <selection activeCell="Z9" sqref="Z9"/>
    </sheetView>
  </sheetViews>
  <sheetFormatPr defaultRowHeight="14.4" x14ac:dyDescent="0.3"/>
  <cols>
    <col min="1" max="1" width="2.77734375" customWidth="1"/>
    <col min="2" max="19" width="6.33203125" customWidth="1"/>
    <col min="20" max="20" width="7.109375" customWidth="1"/>
    <col min="21" max="23" width="6.33203125" customWidth="1"/>
    <col min="24" max="24" width="9.33203125" customWidth="1"/>
    <col min="25" max="25" width="6.33203125" customWidth="1"/>
    <col min="26" max="26" width="8.88671875" customWidth="1"/>
  </cols>
  <sheetData>
    <row r="1" spans="1:25" ht="31.95" customHeight="1" x14ac:dyDescent="0.5">
      <c r="A1" s="8" t="s">
        <v>353</v>
      </c>
      <c r="B1" s="9"/>
      <c r="C1" s="9"/>
      <c r="D1" s="9"/>
      <c r="E1" s="9"/>
      <c r="F1" s="9"/>
      <c r="G1" s="9"/>
      <c r="H1" s="9"/>
      <c r="I1" s="9"/>
      <c r="J1" s="9"/>
      <c r="K1" s="9"/>
      <c r="L1" s="9"/>
      <c r="M1" s="9"/>
      <c r="N1" s="9"/>
      <c r="O1" s="9"/>
      <c r="P1" s="9"/>
      <c r="Q1" s="9"/>
      <c r="R1" s="9"/>
      <c r="S1" s="9"/>
      <c r="T1" s="9"/>
      <c r="U1" s="9"/>
      <c r="V1" s="9"/>
      <c r="W1" s="9"/>
      <c r="X1" s="9"/>
      <c r="Y1" s="9"/>
    </row>
    <row r="2" spans="1:25" ht="18" customHeight="1" x14ac:dyDescent="0.3">
      <c r="A2" s="10" t="s">
        <v>354</v>
      </c>
      <c r="B2" s="9"/>
      <c r="C2" s="9"/>
      <c r="D2" s="9"/>
      <c r="E2" s="9"/>
      <c r="F2" s="9"/>
      <c r="G2" s="9"/>
      <c r="H2" s="9"/>
      <c r="I2" s="9"/>
      <c r="J2" s="9"/>
      <c r="K2" s="9"/>
      <c r="L2" s="9"/>
      <c r="M2" s="9"/>
      <c r="N2" s="9"/>
      <c r="O2" s="9"/>
      <c r="P2" s="9"/>
      <c r="Q2" s="9"/>
      <c r="R2" s="9"/>
      <c r="S2" s="9"/>
      <c r="T2" s="9"/>
      <c r="U2" s="9"/>
      <c r="V2" s="9"/>
      <c r="W2" s="9"/>
      <c r="X2" s="9"/>
      <c r="Y2" s="9"/>
    </row>
    <row r="3" spans="1:25" ht="4.95" customHeight="1" x14ac:dyDescent="0.3">
      <c r="A3" s="7"/>
      <c r="B3" s="7"/>
      <c r="C3" s="7"/>
      <c r="D3" s="7"/>
      <c r="E3" s="7"/>
      <c r="F3" s="7"/>
      <c r="G3" s="7"/>
      <c r="H3" s="7"/>
      <c r="I3" s="7"/>
      <c r="J3" s="7"/>
      <c r="K3" s="7"/>
      <c r="L3" s="7"/>
      <c r="M3" s="7"/>
      <c r="N3" s="7"/>
      <c r="O3" s="7"/>
      <c r="P3" s="7"/>
      <c r="Q3" s="7"/>
      <c r="R3" s="7"/>
      <c r="S3" s="7"/>
      <c r="T3" s="7"/>
      <c r="U3" s="7"/>
      <c r="V3" s="7"/>
      <c r="W3" s="7"/>
      <c r="X3" s="7"/>
      <c r="Y3" s="7"/>
    </row>
    <row r="4" spans="1:25" ht="24" customHeight="1" x14ac:dyDescent="0.3">
      <c r="A4" s="11" t="s">
        <v>355</v>
      </c>
      <c r="B4" s="11"/>
      <c r="C4" s="11"/>
      <c r="D4" s="11"/>
      <c r="E4" s="11"/>
      <c r="F4" s="11"/>
      <c r="G4" s="11"/>
      <c r="H4" s="11"/>
      <c r="I4" s="11"/>
      <c r="J4" s="11"/>
      <c r="K4" s="11"/>
      <c r="L4" s="11"/>
      <c r="M4" s="11"/>
      <c r="N4" s="11"/>
      <c r="O4" s="11"/>
      <c r="P4" s="11"/>
      <c r="Q4" s="11"/>
      <c r="R4" s="11"/>
      <c r="S4" s="11"/>
      <c r="T4" s="11"/>
      <c r="U4" s="11"/>
      <c r="V4" s="11"/>
      <c r="W4" s="11"/>
      <c r="X4" s="11"/>
      <c r="Y4" s="11"/>
    </row>
    <row r="6" spans="1:25" x14ac:dyDescent="0.3">
      <c r="B6" s="11" t="s">
        <v>356</v>
      </c>
      <c r="C6" s="11"/>
      <c r="D6" s="11"/>
      <c r="F6" s="12" t="s">
        <v>357</v>
      </c>
      <c r="G6" s="12"/>
      <c r="H6" s="12"/>
      <c r="J6" s="12" t="s">
        <v>358</v>
      </c>
      <c r="K6" s="12"/>
      <c r="L6" s="12"/>
      <c r="N6" s="12" t="s">
        <v>359</v>
      </c>
      <c r="O6" s="12"/>
      <c r="P6" s="12"/>
      <c r="R6" s="12" t="s">
        <v>360</v>
      </c>
      <c r="S6" s="12"/>
      <c r="T6" s="12"/>
      <c r="V6" s="12" t="s">
        <v>361</v>
      </c>
      <c r="W6" s="12"/>
      <c r="X6" s="12"/>
    </row>
    <row r="7" spans="1:25" x14ac:dyDescent="0.3">
      <c r="B7" s="16">
        <f>GETPIVOTDATA("Count of trade_id",Calc!$A$3)</f>
        <v>195</v>
      </c>
      <c r="C7" s="16"/>
      <c r="D7" s="16"/>
      <c r="F7" s="16">
        <f>IFERROR(GETPIVOTDATA("trade_id",Calc!$D$3,"age_bucket","Over 10 days"),0)</f>
        <v>111</v>
      </c>
      <c r="G7" s="16"/>
      <c r="H7" s="16"/>
      <c r="J7" s="14">
        <f>F7/B7</f>
        <v>0.56923076923076921</v>
      </c>
      <c r="K7" s="14"/>
      <c r="L7" s="14"/>
      <c r="N7" s="15">
        <f>GETPIVOTDATA("Average of days_open",Calc!$A$3)</f>
        <v>12.066666666666666</v>
      </c>
      <c r="O7" s="15"/>
      <c r="P7" s="15"/>
      <c r="R7" s="17">
        <f>by_method!D3</f>
        <v>0.35795454545454553</v>
      </c>
      <c r="S7" s="17"/>
      <c r="T7" s="17"/>
      <c r="V7" s="14">
        <f>by_method!D2</f>
        <v>4.1868932038834947E-2</v>
      </c>
      <c r="W7" s="14"/>
      <c r="X7" s="14"/>
    </row>
    <row r="8" spans="1:25" x14ac:dyDescent="0.3">
      <c r="B8" s="16"/>
      <c r="C8" s="16"/>
      <c r="D8" s="16"/>
      <c r="F8" s="16"/>
      <c r="G8" s="16"/>
      <c r="H8" s="16"/>
      <c r="J8" s="14"/>
      <c r="K8" s="14"/>
      <c r="L8" s="14"/>
      <c r="N8" s="15"/>
      <c r="O8" s="15"/>
      <c r="P8" s="15"/>
      <c r="R8" s="17"/>
      <c r="S8" s="17"/>
      <c r="T8" s="17"/>
      <c r="V8" s="14"/>
      <c r="W8" s="14"/>
      <c r="X8" s="14"/>
    </row>
  </sheetData>
  <mergeCells count="15">
    <mergeCell ref="A1:Y1"/>
    <mergeCell ref="A2:Y2"/>
    <mergeCell ref="A4:Y4"/>
    <mergeCell ref="B6:D6"/>
    <mergeCell ref="B7:D8"/>
    <mergeCell ref="F6:H6"/>
    <mergeCell ref="F7:H8"/>
    <mergeCell ref="J6:L6"/>
    <mergeCell ref="J7:L8"/>
    <mergeCell ref="N6:P6"/>
    <mergeCell ref="N7:P8"/>
    <mergeCell ref="R6:T6"/>
    <mergeCell ref="R7:T8"/>
    <mergeCell ref="V6:X6"/>
    <mergeCell ref="V7:X8"/>
  </mergeCells>
  <pageMargins left="0.7" right="0.7" top="0.75" bottom="0.75" header="0.3" footer="0.3"/>
  <pageSetup paperSize="9" scale="78" orientation="landscape"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
  <sheetViews>
    <sheetView workbookViewId="0"/>
  </sheetViews>
  <sheetFormatPr defaultRowHeight="14.4" x14ac:dyDescent="0.3"/>
  <sheetData>
    <row r="1" spans="1:4" x14ac:dyDescent="0.3">
      <c r="A1" s="1" t="s">
        <v>10</v>
      </c>
      <c r="B1" s="1" t="s">
        <v>336</v>
      </c>
      <c r="C1" s="1" t="s">
        <v>337</v>
      </c>
      <c r="D1" s="1" t="s">
        <v>338</v>
      </c>
    </row>
    <row r="2" spans="1:4" x14ac:dyDescent="0.3">
      <c r="A2" t="s">
        <v>30</v>
      </c>
      <c r="B2">
        <v>1648</v>
      </c>
      <c r="C2">
        <v>69</v>
      </c>
      <c r="D2">
        <v>4.1868932038834947E-2</v>
      </c>
    </row>
    <row r="3" spans="1:4" x14ac:dyDescent="0.3">
      <c r="A3" t="s">
        <v>38</v>
      </c>
      <c r="B3">
        <v>352</v>
      </c>
      <c r="C3">
        <v>126</v>
      </c>
      <c r="D3">
        <v>0.35795454545454553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exceptions</vt:lpstr>
      <vt:lpstr>Calc</vt:lpstr>
      <vt:lpstr>Dashboard</vt:lpstr>
      <vt:lpstr>by_method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BOLUWATIFE</cp:lastModifiedBy>
  <cp:lastPrinted>2026-10-10T20:26:23Z</cp:lastPrinted>
  <dcterms:created xsi:type="dcterms:W3CDTF">2026-10-09T07:27:28Z</dcterms:created>
  <dcterms:modified xsi:type="dcterms:W3CDTF">2026-10-10T21:16:44Z</dcterms:modified>
</cp:coreProperties>
</file>